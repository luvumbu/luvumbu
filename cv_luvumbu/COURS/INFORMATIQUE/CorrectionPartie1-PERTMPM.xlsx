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iaoiv\Desktop\Tempo CNAM\GDN100 - Management de projet\Etude de Cas - PERT-MPM-VA\"/>
    </mc:Choice>
  </mc:AlternateContent>
  <bookViews>
    <workbookView xWindow="0" yWindow="45" windowWidth="22980" windowHeight="9555" activeTab="3"/>
  </bookViews>
  <sheets>
    <sheet name="PERT 1de3" sheetId="2" r:id="rId1"/>
    <sheet name="PERT 2de3" sheetId="3" r:id="rId2"/>
    <sheet name="PERT 3de3" sheetId="5" r:id="rId3"/>
    <sheet name="MPM" sheetId="6" r:id="rId4"/>
  </sheets>
  <calcPr calcId="152511"/>
</workbook>
</file>

<file path=xl/calcChain.xml><?xml version="1.0" encoding="utf-8"?>
<calcChain xmlns="http://schemas.openxmlformats.org/spreadsheetml/2006/main">
  <c r="P19" i="6" l="1"/>
  <c r="E10" i="6" l="1"/>
  <c r="D10" i="6"/>
  <c r="E16" i="6"/>
  <c r="D16" i="6"/>
  <c r="E26" i="6"/>
  <c r="D26" i="6"/>
  <c r="H20" i="6"/>
  <c r="G20" i="6"/>
  <c r="H26" i="6"/>
  <c r="G26" i="6"/>
  <c r="K10" i="6"/>
  <c r="J10" i="6"/>
  <c r="K26" i="6"/>
  <c r="J26" i="6"/>
  <c r="K16" i="6"/>
  <c r="J16" i="6"/>
  <c r="N16" i="6"/>
  <c r="M16" i="6"/>
  <c r="Q20" i="6"/>
  <c r="P20" i="6"/>
  <c r="T20" i="6"/>
  <c r="S20" i="6"/>
  <c r="E24" i="6"/>
  <c r="E8" i="6"/>
  <c r="E14" i="6"/>
  <c r="H18" i="6"/>
  <c r="H24" i="6"/>
  <c r="K24" i="6"/>
  <c r="K8" i="6"/>
  <c r="K14" i="6"/>
  <c r="N14" i="6"/>
  <c r="Q18" i="6"/>
  <c r="T19" i="6"/>
  <c r="T18" i="6"/>
  <c r="M15" i="6"/>
  <c r="S19" i="6"/>
  <c r="J25" i="6"/>
  <c r="J15" i="6"/>
  <c r="J9" i="6"/>
  <c r="G19" i="6"/>
  <c r="G25" i="6"/>
  <c r="D15" i="6"/>
  <c r="D25" i="6"/>
  <c r="D9" i="6"/>
</calcChain>
</file>

<file path=xl/sharedStrings.xml><?xml version="1.0" encoding="utf-8"?>
<sst xmlns="http://schemas.openxmlformats.org/spreadsheetml/2006/main" count="155" uniqueCount="54">
  <si>
    <t>Tâche</t>
  </si>
  <si>
    <t>Durée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</si>
  <si>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</si>
  <si>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</si>
  <si>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</si>
  <si>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</si>
  <si>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</si>
  <si>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</si>
  <si>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</si>
  <si>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</si>
  <si>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</si>
  <si>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</si>
  <si>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</si>
  <si>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APRES</t>
  </si>
  <si>
    <t>AVANT</t>
  </si>
  <si>
    <t>Partir de la fin L à reculons</t>
  </si>
  <si>
    <t>B 4</t>
  </si>
  <si>
    <t>J 4</t>
  </si>
  <si>
    <t>I 2</t>
  </si>
  <si>
    <t>Fin</t>
  </si>
  <si>
    <t>Chemin Critique = marge nulle</t>
  </si>
  <si>
    <t>Au brouillon, tracez la matrice</t>
  </si>
  <si>
    <t>Au brouillon, tracez votre graphe puis reproduisez le au propre</t>
  </si>
  <si>
    <t>Durée en jour/homme</t>
  </si>
  <si>
    <t>Prédécesseur(s)</t>
  </si>
  <si>
    <t>F, E</t>
  </si>
  <si>
    <t>I, A</t>
  </si>
  <si>
    <t>Préd.</t>
  </si>
  <si>
    <t>A 4</t>
  </si>
  <si>
    <t>H 2</t>
  </si>
  <si>
    <t>x</t>
  </si>
  <si>
    <t>K 5</t>
  </si>
  <si>
    <t>G 3</t>
  </si>
  <si>
    <t>F 4</t>
  </si>
  <si>
    <t>E 5</t>
  </si>
  <si>
    <t>D 4</t>
  </si>
  <si>
    <t>C 3</t>
  </si>
  <si>
    <t>A,J,F,G,K</t>
  </si>
  <si>
    <t>H,I,J,F,G,K</t>
  </si>
  <si>
    <t>C,D,E,G,K</t>
  </si>
  <si>
    <t>Début</t>
  </si>
  <si>
    <t>Deb+tôt</t>
  </si>
  <si>
    <t>Fin+tôt</t>
  </si>
  <si>
    <t>Mg.Tot</t>
  </si>
  <si>
    <t>Mg.Lib</t>
  </si>
  <si>
    <t>Deb+tard</t>
  </si>
  <si>
    <t>Fin+tard</t>
  </si>
  <si>
    <t>Deb+tôt + durée - 1</t>
  </si>
  <si>
    <t>Fin+tard - durée + 1</t>
  </si>
  <si>
    <t>max(Fin+tôt précédentes) + 1</t>
  </si>
  <si>
    <t>min(Deb+tôt suivantes) -1</t>
  </si>
  <si>
    <t>min(Deb+tôt suivantes) - durée - Deb+tôt --&gt; Soit aussi Fin+tard + 1 - durée - Deb+tôt</t>
  </si>
  <si>
    <t>Deb+tard - Deb+tôt ou Fin+tard - Fin+tôt</t>
  </si>
  <si>
    <t>Au plus tôt suivant =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</si>
</sst>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  <xf numFmtId="0" fontId="3" fillId="0" borderId="0" xfId="0" applyFont="1"/>
    <xf numFmtId="0" fontId="0" fillId="3" borderId="1" xfId="0" applyFill="1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4" borderId="1" xfId="0" applyFill="1" applyBorder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 applyAlignment="1">
      <alignment horizontal="right"/>
    </xf>
    <xf numFmtId="0" fontId="2" fillId="2" borderId="1" xfId="0" applyFont="1" applyFill="1" applyBorder="1"/>
    <xf numFmtId="0" fontId="3" fillId="0" borderId="5" xfId="0" applyFont="1" applyBorder="1"/>
    <xf numFmtId="0" fontId="6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8</xdr:row>
      <xdr:rowOff>99060</xdr:rowOff>
    </xdr:from>
    <xdr:to>
      <xdr:col>5</xdr:col>
      <xdr:colOff>97211</xdr:colOff>
      <xdr:row>10</xdr:row>
      <xdr:rowOff>53340</xdr:rowOff>
    </xdr:to>
    <xdr:sp macro="" textlink="">
      <xdr:nvSpPr>
        <xdr:cNvPr id="2" name="Rounded Rectangle 1"/>
        <xdr:cNvSpPr/>
      </xdr:nvSpPr>
      <xdr:spPr>
        <a:xfrm>
          <a:off x="1714500" y="1569720"/>
          <a:ext cx="1127760" cy="32004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Début (0,0)</a:t>
          </a:r>
        </a:p>
      </xdr:txBody>
    </xdr:sp>
    <xdr:clientData/>
  </xdr:twoCellAnchor>
  <xdr:twoCellAnchor>
    <xdr:from>
      <xdr:col>8</xdr:col>
      <xdr:colOff>570230</xdr:colOff>
      <xdr:row>3</xdr:row>
      <xdr:rowOff>63923</xdr:rowOff>
    </xdr:from>
    <xdr:to>
      <xdr:col>10</xdr:col>
      <xdr:colOff>261196</xdr:colOff>
      <xdr:row>5</xdr:row>
      <xdr:rowOff>18203</xdr:rowOff>
    </xdr:to>
    <xdr:sp macro="" textlink="">
      <xdr:nvSpPr>
        <xdr:cNvPr id="3" name="Rounded Rectangle 2"/>
        <xdr:cNvSpPr/>
      </xdr:nvSpPr>
      <xdr:spPr>
        <a:xfrm>
          <a:off x="5110480" y="635423"/>
          <a:ext cx="918633" cy="3352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1 (4,4)</a:t>
          </a:r>
        </a:p>
      </xdr:txBody>
    </xdr:sp>
    <xdr:clientData/>
  </xdr:twoCellAnchor>
  <xdr:twoCellAnchor>
    <xdr:from>
      <xdr:col>5</xdr:col>
      <xdr:colOff>97211</xdr:colOff>
      <xdr:row>4</xdr:row>
      <xdr:rowOff>41063</xdr:rowOff>
    </xdr:from>
    <xdr:to>
      <xdr:col>8</xdr:col>
      <xdr:colOff>570230</xdr:colOff>
      <xdr:row>9</xdr:row>
      <xdr:rowOff>76200</xdr:rowOff>
    </xdr:to>
    <xdr:cxnSp macro="">
      <xdr:nvCxnSpPr>
        <xdr:cNvPr id="4" name="Straight Arrow Connector 3"/>
        <xdr:cNvCxnSpPr>
          <a:stCxn id="2" idx="3"/>
          <a:endCxn id="3" idx="1"/>
        </xdr:cNvCxnSpPr>
      </xdr:nvCxnSpPr>
      <xdr:spPr>
        <a:xfrm flipV="1">
          <a:off x="2795961" y="803063"/>
          <a:ext cx="2314519" cy="9876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334435</xdr:colOff>
      <xdr:row>9</xdr:row>
      <xdr:rowOff>180340</xdr:rowOff>
    </xdr:from>
    <xdr:to>
      <xdr:col>8</xdr:col>
      <xdr:colOff>25401</xdr:colOff>
      <xdr:row>11</xdr:row>
      <xdr:rowOff>134620</xdr:rowOff>
    </xdr:to>
    <xdr:sp macro="" textlink="">
      <xdr:nvSpPr>
        <xdr:cNvPr id="5" name="Rounded Rectangle 4"/>
        <xdr:cNvSpPr/>
      </xdr:nvSpPr>
      <xdr:spPr>
        <a:xfrm>
          <a:off x="3647018" y="1894840"/>
          <a:ext cx="918633" cy="3352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3 (2,2)</a:t>
          </a:r>
        </a:p>
      </xdr:txBody>
    </xdr:sp>
    <xdr:clientData/>
  </xdr:twoCellAnchor>
  <xdr:twoCellAnchor>
    <xdr:from>
      <xdr:col>11</xdr:col>
      <xdr:colOff>184573</xdr:colOff>
      <xdr:row>6</xdr:row>
      <xdr:rowOff>53338</xdr:rowOff>
    </xdr:from>
    <xdr:to>
      <xdr:col>12</xdr:col>
      <xdr:colOff>493607</xdr:colOff>
      <xdr:row>8</xdr:row>
      <xdr:rowOff>7618</xdr:rowOff>
    </xdr:to>
    <xdr:sp macro="" textlink="">
      <xdr:nvSpPr>
        <xdr:cNvPr id="7" name="Rounded Rectangle 6"/>
        <xdr:cNvSpPr/>
      </xdr:nvSpPr>
      <xdr:spPr>
        <a:xfrm>
          <a:off x="6566323" y="1196338"/>
          <a:ext cx="922867" cy="3352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6 (8,8)</a:t>
          </a:r>
        </a:p>
      </xdr:txBody>
    </xdr:sp>
    <xdr:clientData/>
  </xdr:twoCellAnchor>
  <xdr:twoCellAnchor>
    <xdr:from>
      <xdr:col>10</xdr:col>
      <xdr:colOff>259081</xdr:colOff>
      <xdr:row>5</xdr:row>
      <xdr:rowOff>115148</xdr:rowOff>
    </xdr:from>
    <xdr:to>
      <xdr:col>11</xdr:col>
      <xdr:colOff>184573</xdr:colOff>
      <xdr:row>7</xdr:row>
      <xdr:rowOff>30478</xdr:rowOff>
    </xdr:to>
    <xdr:cxnSp macro="">
      <xdr:nvCxnSpPr>
        <xdr:cNvPr id="8" name="Straight Arrow Connector 7"/>
        <xdr:cNvCxnSpPr>
          <a:stCxn id="10" idx="3"/>
          <a:endCxn id="7" idx="1"/>
        </xdr:cNvCxnSpPr>
      </xdr:nvCxnSpPr>
      <xdr:spPr>
        <a:xfrm>
          <a:off x="6026998" y="1067648"/>
          <a:ext cx="539325" cy="296330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261196</xdr:colOff>
      <xdr:row>4</xdr:row>
      <xdr:rowOff>41063</xdr:rowOff>
    </xdr:from>
    <xdr:to>
      <xdr:col>18</xdr:col>
      <xdr:colOff>96096</xdr:colOff>
      <xdr:row>4</xdr:row>
      <xdr:rowOff>41064</xdr:rowOff>
    </xdr:to>
    <xdr:cxnSp macro="">
      <xdr:nvCxnSpPr>
        <xdr:cNvPr id="9" name="Straight Arrow Connector 8"/>
        <xdr:cNvCxnSpPr>
          <a:stCxn id="3" idx="3"/>
          <a:endCxn id="22" idx="1"/>
        </xdr:cNvCxnSpPr>
      </xdr:nvCxnSpPr>
      <xdr:spPr>
        <a:xfrm>
          <a:off x="6029113" y="803063"/>
          <a:ext cx="4745566" cy="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563881</xdr:colOff>
      <xdr:row>4</xdr:row>
      <xdr:rowOff>138008</xdr:rowOff>
    </xdr:from>
    <xdr:to>
      <xdr:col>10</xdr:col>
      <xdr:colOff>259081</xdr:colOff>
      <xdr:row>6</xdr:row>
      <xdr:rowOff>92288</xdr:rowOff>
    </xdr:to>
    <xdr:sp macro="" textlink="">
      <xdr:nvSpPr>
        <xdr:cNvPr id="10" name="Rounded Rectangle 9"/>
        <xdr:cNvSpPr/>
      </xdr:nvSpPr>
      <xdr:spPr>
        <a:xfrm>
          <a:off x="5104131" y="900008"/>
          <a:ext cx="922867" cy="3352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2 (4,4)</a:t>
          </a:r>
        </a:p>
      </xdr:txBody>
    </xdr:sp>
    <xdr:clientData/>
  </xdr:twoCellAnchor>
  <xdr:twoCellAnchor>
    <xdr:from>
      <xdr:col>13</xdr:col>
      <xdr:colOff>228388</xdr:colOff>
      <xdr:row>10</xdr:row>
      <xdr:rowOff>63923</xdr:rowOff>
    </xdr:from>
    <xdr:to>
      <xdr:col>14</xdr:col>
      <xdr:colOff>542758</xdr:colOff>
      <xdr:row>12</xdr:row>
      <xdr:rowOff>18203</xdr:rowOff>
    </xdr:to>
    <xdr:sp macro="" textlink="">
      <xdr:nvSpPr>
        <xdr:cNvPr id="12" name="Rounded Rectangle 11"/>
        <xdr:cNvSpPr/>
      </xdr:nvSpPr>
      <xdr:spPr>
        <a:xfrm>
          <a:off x="7837805" y="1968923"/>
          <a:ext cx="928203" cy="3352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7 (12,12)</a:t>
          </a:r>
        </a:p>
      </xdr:txBody>
    </xdr:sp>
    <xdr:clientData/>
  </xdr:twoCellAnchor>
  <xdr:twoCellAnchor>
    <xdr:from>
      <xdr:col>7</xdr:col>
      <xdr:colOff>38100</xdr:colOff>
      <xdr:row>13</xdr:row>
      <xdr:rowOff>83820</xdr:rowOff>
    </xdr:from>
    <xdr:to>
      <xdr:col>8</xdr:col>
      <xdr:colOff>342900</xdr:colOff>
      <xdr:row>15</xdr:row>
      <xdr:rowOff>38100</xdr:rowOff>
    </xdr:to>
    <xdr:sp macro="" textlink="">
      <xdr:nvSpPr>
        <xdr:cNvPr id="14" name="Rounded Rectangle 13"/>
        <xdr:cNvSpPr/>
      </xdr:nvSpPr>
      <xdr:spPr>
        <a:xfrm>
          <a:off x="3992880" y="2476500"/>
          <a:ext cx="914400" cy="32004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4</a:t>
          </a:r>
          <a:r>
            <a:rPr lang="en-US" sz="1100" baseline="0"/>
            <a:t> (3,3)</a:t>
          </a:r>
          <a:endParaRPr lang="en-US" sz="1100"/>
        </a:p>
      </xdr:txBody>
    </xdr:sp>
    <xdr:clientData/>
  </xdr:twoCellAnchor>
  <xdr:twoCellAnchor>
    <xdr:from>
      <xdr:col>5</xdr:col>
      <xdr:colOff>97211</xdr:colOff>
      <xdr:row>9</xdr:row>
      <xdr:rowOff>76200</xdr:rowOff>
    </xdr:from>
    <xdr:to>
      <xdr:col>6</xdr:col>
      <xdr:colOff>334435</xdr:colOff>
      <xdr:row>10</xdr:row>
      <xdr:rowOff>157480</xdr:rowOff>
    </xdr:to>
    <xdr:cxnSp macro="">
      <xdr:nvCxnSpPr>
        <xdr:cNvPr id="15" name="Straight Arrow Connector 14"/>
        <xdr:cNvCxnSpPr>
          <a:stCxn id="2" idx="3"/>
          <a:endCxn id="5" idx="1"/>
        </xdr:cNvCxnSpPr>
      </xdr:nvCxnSpPr>
      <xdr:spPr>
        <a:xfrm>
          <a:off x="2795961" y="1790700"/>
          <a:ext cx="851057" cy="271780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493607</xdr:colOff>
      <xdr:row>7</xdr:row>
      <xdr:rowOff>30478</xdr:rowOff>
    </xdr:from>
    <xdr:to>
      <xdr:col>13</xdr:col>
      <xdr:colOff>228388</xdr:colOff>
      <xdr:row>11</xdr:row>
      <xdr:rowOff>41063</xdr:rowOff>
    </xdr:to>
    <xdr:cxnSp macro="">
      <xdr:nvCxnSpPr>
        <xdr:cNvPr id="16" name="Straight Arrow Connector 15"/>
        <xdr:cNvCxnSpPr>
          <a:stCxn id="7" idx="3"/>
          <a:endCxn id="12" idx="1"/>
        </xdr:cNvCxnSpPr>
      </xdr:nvCxnSpPr>
      <xdr:spPr>
        <a:xfrm>
          <a:off x="7489190" y="1363978"/>
          <a:ext cx="348615" cy="772585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342900</xdr:colOff>
      <xdr:row>13</xdr:row>
      <xdr:rowOff>145627</xdr:rowOff>
    </xdr:from>
    <xdr:to>
      <xdr:col>9</xdr:col>
      <xdr:colOff>489796</xdr:colOff>
      <xdr:row>14</xdr:row>
      <xdr:rowOff>60960</xdr:rowOff>
    </xdr:to>
    <xdr:cxnSp macro="">
      <xdr:nvCxnSpPr>
        <xdr:cNvPr id="17" name="Straight Arrow Connector 16"/>
        <xdr:cNvCxnSpPr>
          <a:stCxn id="14" idx="3"/>
          <a:endCxn id="18" idx="1"/>
        </xdr:cNvCxnSpPr>
      </xdr:nvCxnSpPr>
      <xdr:spPr>
        <a:xfrm flipV="1">
          <a:off x="4883150" y="2622127"/>
          <a:ext cx="760729" cy="105833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489796</xdr:colOff>
      <xdr:row>12</xdr:row>
      <xdr:rowOff>168487</xdr:rowOff>
    </xdr:from>
    <xdr:to>
      <xdr:col>11</xdr:col>
      <xdr:colOff>184996</xdr:colOff>
      <xdr:row>14</xdr:row>
      <xdr:rowOff>122767</xdr:rowOff>
    </xdr:to>
    <xdr:sp macro="" textlink="">
      <xdr:nvSpPr>
        <xdr:cNvPr id="18" name="Rounded Rectangle 17"/>
        <xdr:cNvSpPr/>
      </xdr:nvSpPr>
      <xdr:spPr>
        <a:xfrm>
          <a:off x="5643879" y="2454487"/>
          <a:ext cx="922867" cy="3352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5 (7,7)</a:t>
          </a:r>
        </a:p>
      </xdr:txBody>
    </xdr:sp>
    <xdr:clientData/>
  </xdr:twoCellAnchor>
  <xdr:twoCellAnchor>
    <xdr:from>
      <xdr:col>11</xdr:col>
      <xdr:colOff>184996</xdr:colOff>
      <xdr:row>11</xdr:row>
      <xdr:rowOff>41063</xdr:rowOff>
    </xdr:from>
    <xdr:to>
      <xdr:col>13</xdr:col>
      <xdr:colOff>228388</xdr:colOff>
      <xdr:row>13</xdr:row>
      <xdr:rowOff>145627</xdr:rowOff>
    </xdr:to>
    <xdr:cxnSp macro="">
      <xdr:nvCxnSpPr>
        <xdr:cNvPr id="19" name="Straight Arrow Connector 18"/>
        <xdr:cNvCxnSpPr>
          <a:stCxn id="18" idx="3"/>
          <a:endCxn id="12" idx="1"/>
        </xdr:cNvCxnSpPr>
      </xdr:nvCxnSpPr>
      <xdr:spPr>
        <a:xfrm flipV="1">
          <a:off x="6566746" y="2136563"/>
          <a:ext cx="1271059" cy="485564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542758</xdr:colOff>
      <xdr:row>11</xdr:row>
      <xdr:rowOff>41063</xdr:rowOff>
    </xdr:from>
    <xdr:to>
      <xdr:col>15</xdr:col>
      <xdr:colOff>536152</xdr:colOff>
      <xdr:row>11</xdr:row>
      <xdr:rowOff>41063</xdr:rowOff>
    </xdr:to>
    <xdr:cxnSp macro="">
      <xdr:nvCxnSpPr>
        <xdr:cNvPr id="20" name="Straight Arrow Connector 19"/>
        <xdr:cNvCxnSpPr>
          <a:stCxn id="12" idx="3"/>
          <a:endCxn id="21" idx="1"/>
        </xdr:cNvCxnSpPr>
      </xdr:nvCxnSpPr>
      <xdr:spPr>
        <a:xfrm>
          <a:off x="8766008" y="2136563"/>
          <a:ext cx="607227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536152</xdr:colOff>
      <xdr:row>10</xdr:row>
      <xdr:rowOff>63923</xdr:rowOff>
    </xdr:from>
    <xdr:to>
      <xdr:col>17</xdr:col>
      <xdr:colOff>231352</xdr:colOff>
      <xdr:row>12</xdr:row>
      <xdr:rowOff>18203</xdr:rowOff>
    </xdr:to>
    <xdr:sp macro="" textlink="">
      <xdr:nvSpPr>
        <xdr:cNvPr id="21" name="Rounded Rectangle 20"/>
        <xdr:cNvSpPr/>
      </xdr:nvSpPr>
      <xdr:spPr>
        <a:xfrm>
          <a:off x="9373235" y="1968923"/>
          <a:ext cx="922867" cy="3352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8</a:t>
          </a:r>
          <a:r>
            <a:rPr lang="en-US" sz="1100" baseline="0"/>
            <a:t> (15,15)</a:t>
          </a:r>
          <a:endParaRPr lang="en-US" sz="1100"/>
        </a:p>
      </xdr:txBody>
    </xdr:sp>
    <xdr:clientData/>
  </xdr:twoCellAnchor>
  <xdr:twoCellAnchor>
    <xdr:from>
      <xdr:col>18</xdr:col>
      <xdr:colOff>96096</xdr:colOff>
      <xdr:row>3</xdr:row>
      <xdr:rowOff>63924</xdr:rowOff>
    </xdr:from>
    <xdr:to>
      <xdr:col>19</xdr:col>
      <xdr:colOff>400895</xdr:colOff>
      <xdr:row>5</xdr:row>
      <xdr:rowOff>18204</xdr:rowOff>
    </xdr:to>
    <xdr:sp macro="" textlink="">
      <xdr:nvSpPr>
        <xdr:cNvPr id="22" name="Rounded Rectangle 21"/>
        <xdr:cNvSpPr/>
      </xdr:nvSpPr>
      <xdr:spPr>
        <a:xfrm>
          <a:off x="10774679" y="635424"/>
          <a:ext cx="918633" cy="3352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Fin (20,20)</a:t>
          </a:r>
        </a:p>
      </xdr:txBody>
    </xdr:sp>
    <xdr:clientData/>
  </xdr:twoCellAnchor>
  <xdr:twoCellAnchor>
    <xdr:from>
      <xdr:col>17</xdr:col>
      <xdr:colOff>231352</xdr:colOff>
      <xdr:row>4</xdr:row>
      <xdr:rowOff>41064</xdr:rowOff>
    </xdr:from>
    <xdr:to>
      <xdr:col>18</xdr:col>
      <xdr:colOff>96096</xdr:colOff>
      <xdr:row>11</xdr:row>
      <xdr:rowOff>41063</xdr:rowOff>
    </xdr:to>
    <xdr:cxnSp macro="">
      <xdr:nvCxnSpPr>
        <xdr:cNvPr id="23" name="Straight Arrow Connector 22"/>
        <xdr:cNvCxnSpPr>
          <a:stCxn id="21" idx="3"/>
          <a:endCxn id="22" idx="1"/>
        </xdr:cNvCxnSpPr>
      </xdr:nvCxnSpPr>
      <xdr:spPr>
        <a:xfrm flipV="1">
          <a:off x="10296102" y="803064"/>
          <a:ext cx="478577" cy="1333499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</xdr:row>
      <xdr:rowOff>0</xdr:rowOff>
    </xdr:from>
    <xdr:to>
      <xdr:col>16</xdr:col>
      <xdr:colOff>45720</xdr:colOff>
      <xdr:row>14</xdr:row>
      <xdr:rowOff>0</xdr:rowOff>
    </xdr:to>
    <xdr:cxnSp macro="">
      <xdr:nvCxnSpPr>
        <xdr:cNvPr id="24" name="Straight Arrow Connector 23"/>
        <xdr:cNvCxnSpPr/>
      </xdr:nvCxnSpPr>
      <xdr:spPr>
        <a:xfrm>
          <a:off x="8839200" y="2624667"/>
          <a:ext cx="65532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190500</xdr:colOff>
      <xdr:row>12</xdr:row>
      <xdr:rowOff>95250</xdr:rowOff>
    </xdr:from>
    <xdr:to>
      <xdr:col>1</xdr:col>
      <xdr:colOff>380041</xdr:colOff>
      <xdr:row>19</xdr:row>
      <xdr:rowOff>93132</xdr:rowOff>
    </xdr:to>
    <xdr:cxnSp macro="">
      <xdr:nvCxnSpPr>
        <xdr:cNvPr id="28" name="Curved Connector 27"/>
        <xdr:cNvCxnSpPr/>
      </xdr:nvCxnSpPr>
      <xdr:spPr>
        <a:xfrm rot="16200000" flipH="1">
          <a:off x="-184629" y="2756379"/>
          <a:ext cx="1331382" cy="581124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74082</xdr:colOff>
      <xdr:row>15</xdr:row>
      <xdr:rowOff>170395</xdr:rowOff>
    </xdr:from>
    <xdr:to>
      <xdr:col>16</xdr:col>
      <xdr:colOff>110067</xdr:colOff>
      <xdr:row>28</xdr:row>
      <xdr:rowOff>158751</xdr:rowOff>
    </xdr:to>
    <xdr:cxnSp macro="">
      <xdr:nvCxnSpPr>
        <xdr:cNvPr id="34" name="Curved Connector 33"/>
        <xdr:cNvCxnSpPr/>
      </xdr:nvCxnSpPr>
      <xdr:spPr>
        <a:xfrm rot="5400000" flipH="1" flipV="1">
          <a:off x="7389814" y="3342747"/>
          <a:ext cx="2464856" cy="1877485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97211</xdr:colOff>
      <xdr:row>5</xdr:row>
      <xdr:rowOff>115148</xdr:rowOff>
    </xdr:from>
    <xdr:to>
      <xdr:col>8</xdr:col>
      <xdr:colOff>563881</xdr:colOff>
      <xdr:row>9</xdr:row>
      <xdr:rowOff>76200</xdr:rowOff>
    </xdr:to>
    <xdr:cxnSp macro="">
      <xdr:nvCxnSpPr>
        <xdr:cNvPr id="75" name="Straight Arrow Connector 74"/>
        <xdr:cNvCxnSpPr>
          <a:stCxn id="2" idx="3"/>
          <a:endCxn id="10" idx="1"/>
        </xdr:cNvCxnSpPr>
      </xdr:nvCxnSpPr>
      <xdr:spPr>
        <a:xfrm flipV="1">
          <a:off x="2795961" y="1067648"/>
          <a:ext cx="2308170" cy="723052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25401</xdr:colOff>
      <xdr:row>5</xdr:row>
      <xdr:rowOff>115148</xdr:rowOff>
    </xdr:from>
    <xdr:to>
      <xdr:col>8</xdr:col>
      <xdr:colOff>563881</xdr:colOff>
      <xdr:row>10</xdr:row>
      <xdr:rowOff>157480</xdr:rowOff>
    </xdr:to>
    <xdr:cxnSp macro="">
      <xdr:nvCxnSpPr>
        <xdr:cNvPr id="81" name="Straight Arrow Connector 80"/>
        <xdr:cNvCxnSpPr>
          <a:stCxn id="5" idx="3"/>
          <a:endCxn id="10" idx="1"/>
        </xdr:cNvCxnSpPr>
      </xdr:nvCxnSpPr>
      <xdr:spPr>
        <a:xfrm flipV="1">
          <a:off x="4565651" y="1067648"/>
          <a:ext cx="538480" cy="994832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97211</xdr:colOff>
      <xdr:row>9</xdr:row>
      <xdr:rowOff>76200</xdr:rowOff>
    </xdr:from>
    <xdr:to>
      <xdr:col>7</xdr:col>
      <xdr:colOff>38100</xdr:colOff>
      <xdr:row>14</xdr:row>
      <xdr:rowOff>60960</xdr:rowOff>
    </xdr:to>
    <xdr:cxnSp macro="">
      <xdr:nvCxnSpPr>
        <xdr:cNvPr id="106" name="Straight Arrow Connector 105"/>
        <xdr:cNvCxnSpPr>
          <a:stCxn id="2" idx="3"/>
          <a:endCxn id="14" idx="1"/>
        </xdr:cNvCxnSpPr>
      </xdr:nvCxnSpPr>
      <xdr:spPr>
        <a:xfrm>
          <a:off x="2795961" y="1790700"/>
          <a:ext cx="1168556" cy="937260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95250</xdr:rowOff>
    </xdr:from>
    <xdr:to>
      <xdr:col>2</xdr:col>
      <xdr:colOff>600075</xdr:colOff>
      <xdr:row>15</xdr:row>
      <xdr:rowOff>104776</xdr:rowOff>
    </xdr:to>
    <xdr:cxnSp macro="">
      <xdr:nvCxnSpPr>
        <xdr:cNvPr id="2" name="Straight Arrow Connector 1"/>
        <xdr:cNvCxnSpPr/>
      </xdr:nvCxnSpPr>
      <xdr:spPr>
        <a:xfrm flipV="1">
          <a:off x="1219200" y="1619250"/>
          <a:ext cx="600075" cy="1352551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14</xdr:row>
      <xdr:rowOff>95250</xdr:rowOff>
    </xdr:from>
    <xdr:to>
      <xdr:col>3</xdr:col>
      <xdr:colOff>0</xdr:colOff>
      <xdr:row>15</xdr:row>
      <xdr:rowOff>85725</xdr:rowOff>
    </xdr:to>
    <xdr:cxnSp macro="">
      <xdr:nvCxnSpPr>
        <xdr:cNvPr id="5" name="Straight Arrow Connector 4"/>
        <xdr:cNvCxnSpPr/>
      </xdr:nvCxnSpPr>
      <xdr:spPr>
        <a:xfrm flipV="1">
          <a:off x="1228725" y="2762250"/>
          <a:ext cx="600075" cy="190500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</xdr:row>
      <xdr:rowOff>114300</xdr:rowOff>
    </xdr:from>
    <xdr:to>
      <xdr:col>3</xdr:col>
      <xdr:colOff>0</xdr:colOff>
      <xdr:row>24</xdr:row>
      <xdr:rowOff>66675</xdr:rowOff>
    </xdr:to>
    <xdr:cxnSp macro="">
      <xdr:nvCxnSpPr>
        <xdr:cNvPr id="8" name="Straight Arrow Connector 7"/>
        <xdr:cNvCxnSpPr/>
      </xdr:nvCxnSpPr>
      <xdr:spPr>
        <a:xfrm>
          <a:off x="1219200" y="2981325"/>
          <a:ext cx="609600" cy="1676400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14</xdr:row>
      <xdr:rowOff>0</xdr:rowOff>
    </xdr:from>
    <xdr:to>
      <xdr:col>6</xdr:col>
      <xdr:colOff>9525</xdr:colOff>
      <xdr:row>18</xdr:row>
      <xdr:rowOff>85725</xdr:rowOff>
    </xdr:to>
    <xdr:cxnSp macro="">
      <xdr:nvCxnSpPr>
        <xdr:cNvPr id="11" name="Straight Arrow Connector 10"/>
        <xdr:cNvCxnSpPr/>
      </xdr:nvCxnSpPr>
      <xdr:spPr>
        <a:xfrm>
          <a:off x="3057525" y="2667000"/>
          <a:ext cx="609600" cy="866775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14</xdr:row>
      <xdr:rowOff>66676</xdr:rowOff>
    </xdr:from>
    <xdr:to>
      <xdr:col>9</xdr:col>
      <xdr:colOff>0</xdr:colOff>
      <xdr:row>18</xdr:row>
      <xdr:rowOff>28575</xdr:rowOff>
    </xdr:to>
    <xdr:cxnSp macro="">
      <xdr:nvCxnSpPr>
        <xdr:cNvPr id="14" name="Straight Arrow Connector 13"/>
        <xdr:cNvCxnSpPr/>
      </xdr:nvCxnSpPr>
      <xdr:spPr>
        <a:xfrm flipV="1">
          <a:off x="4886325" y="2733676"/>
          <a:ext cx="600075" cy="742949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8</xdr:row>
      <xdr:rowOff>76200</xdr:rowOff>
    </xdr:from>
    <xdr:to>
      <xdr:col>9</xdr:col>
      <xdr:colOff>0</xdr:colOff>
      <xdr:row>14</xdr:row>
      <xdr:rowOff>66677</xdr:rowOff>
    </xdr:to>
    <xdr:cxnSp macro="">
      <xdr:nvCxnSpPr>
        <xdr:cNvPr id="17" name="Straight Arrow Connector 16"/>
        <xdr:cNvCxnSpPr/>
      </xdr:nvCxnSpPr>
      <xdr:spPr>
        <a:xfrm>
          <a:off x="3057525" y="1600200"/>
          <a:ext cx="2428875" cy="1133477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8</xdr:row>
      <xdr:rowOff>47625</xdr:rowOff>
    </xdr:from>
    <xdr:to>
      <xdr:col>8</xdr:col>
      <xdr:colOff>600075</xdr:colOff>
      <xdr:row>8</xdr:row>
      <xdr:rowOff>66675</xdr:rowOff>
    </xdr:to>
    <xdr:cxnSp macro="">
      <xdr:nvCxnSpPr>
        <xdr:cNvPr id="19" name="Straight Arrow Connector 18"/>
        <xdr:cNvCxnSpPr/>
      </xdr:nvCxnSpPr>
      <xdr:spPr>
        <a:xfrm flipV="1">
          <a:off x="3067050" y="1571625"/>
          <a:ext cx="2409825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8</xdr:row>
      <xdr:rowOff>38100</xdr:rowOff>
    </xdr:from>
    <xdr:to>
      <xdr:col>21</xdr:col>
      <xdr:colOff>0</xdr:colOff>
      <xdr:row>15</xdr:row>
      <xdr:rowOff>104775</xdr:rowOff>
    </xdr:to>
    <xdr:cxnSp macro="">
      <xdr:nvCxnSpPr>
        <xdr:cNvPr id="22" name="Straight Arrow Connector 21"/>
        <xdr:cNvCxnSpPr/>
      </xdr:nvCxnSpPr>
      <xdr:spPr>
        <a:xfrm>
          <a:off x="6715125" y="1562100"/>
          <a:ext cx="4257675" cy="1409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24</xdr:row>
      <xdr:rowOff>96076</xdr:rowOff>
    </xdr:from>
    <xdr:to>
      <xdr:col>6</xdr:col>
      <xdr:colOff>19050</xdr:colOff>
      <xdr:row>24</xdr:row>
      <xdr:rowOff>103948</xdr:rowOff>
    </xdr:to>
    <xdr:cxnSp macro="">
      <xdr:nvCxnSpPr>
        <xdr:cNvPr id="25" name="Straight Arrow Connector 24"/>
        <xdr:cNvCxnSpPr/>
      </xdr:nvCxnSpPr>
      <xdr:spPr>
        <a:xfrm>
          <a:off x="3057525" y="4687126"/>
          <a:ext cx="619125" cy="7872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24</xdr:row>
      <xdr:rowOff>86551</xdr:rowOff>
    </xdr:from>
    <xdr:to>
      <xdr:col>9</xdr:col>
      <xdr:colOff>19050</xdr:colOff>
      <xdr:row>24</xdr:row>
      <xdr:rowOff>94423</xdr:rowOff>
    </xdr:to>
    <xdr:cxnSp macro="">
      <xdr:nvCxnSpPr>
        <xdr:cNvPr id="28" name="Straight Arrow Connector 27"/>
        <xdr:cNvCxnSpPr/>
      </xdr:nvCxnSpPr>
      <xdr:spPr>
        <a:xfrm>
          <a:off x="4886325" y="4677601"/>
          <a:ext cx="619125" cy="7872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18</xdr:row>
      <xdr:rowOff>47625</xdr:rowOff>
    </xdr:from>
    <xdr:to>
      <xdr:col>14</xdr:col>
      <xdr:colOff>600075</xdr:colOff>
      <xdr:row>24</xdr:row>
      <xdr:rowOff>77026</xdr:rowOff>
    </xdr:to>
    <xdr:cxnSp macro="">
      <xdr:nvCxnSpPr>
        <xdr:cNvPr id="29" name="Straight Arrow Connector 28"/>
        <xdr:cNvCxnSpPr/>
      </xdr:nvCxnSpPr>
      <xdr:spPr>
        <a:xfrm flipV="1">
          <a:off x="6715125" y="3495675"/>
          <a:ext cx="2419350" cy="1172401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18</xdr:row>
      <xdr:rowOff>76200</xdr:rowOff>
    </xdr:from>
    <xdr:to>
      <xdr:col>18</xdr:col>
      <xdr:colOff>19050</xdr:colOff>
      <xdr:row>18</xdr:row>
      <xdr:rowOff>84072</xdr:rowOff>
    </xdr:to>
    <xdr:cxnSp macro="">
      <xdr:nvCxnSpPr>
        <xdr:cNvPr id="31" name="Straight Arrow Connector 30"/>
        <xdr:cNvCxnSpPr/>
      </xdr:nvCxnSpPr>
      <xdr:spPr>
        <a:xfrm>
          <a:off x="8543925" y="3524250"/>
          <a:ext cx="619125" cy="7872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85725</xdr:rowOff>
    </xdr:from>
    <xdr:to>
      <xdr:col>12</xdr:col>
      <xdr:colOff>9525</xdr:colOff>
      <xdr:row>14</xdr:row>
      <xdr:rowOff>85725</xdr:rowOff>
    </xdr:to>
    <xdr:cxnSp macro="">
      <xdr:nvCxnSpPr>
        <xdr:cNvPr id="32" name="Straight Arrow Connector 31"/>
        <xdr:cNvCxnSpPr/>
      </xdr:nvCxnSpPr>
      <xdr:spPr>
        <a:xfrm>
          <a:off x="6705600" y="2752725"/>
          <a:ext cx="61912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15</xdr:row>
      <xdr:rowOff>123825</xdr:rowOff>
    </xdr:from>
    <xdr:to>
      <xdr:col>20</xdr:col>
      <xdr:colOff>590550</xdr:colOff>
      <xdr:row>18</xdr:row>
      <xdr:rowOff>95250</xdr:rowOff>
    </xdr:to>
    <xdr:cxnSp macro="">
      <xdr:nvCxnSpPr>
        <xdr:cNvPr id="35" name="Straight Arrow Connector 34"/>
        <xdr:cNvCxnSpPr/>
      </xdr:nvCxnSpPr>
      <xdr:spPr>
        <a:xfrm flipV="1">
          <a:off x="10372725" y="2990850"/>
          <a:ext cx="581025" cy="552450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14</xdr:row>
      <xdr:rowOff>85725</xdr:rowOff>
    </xdr:from>
    <xdr:to>
      <xdr:col>15</xdr:col>
      <xdr:colOff>0</xdr:colOff>
      <xdr:row>18</xdr:row>
      <xdr:rowOff>19050</xdr:rowOff>
    </xdr:to>
    <xdr:cxnSp macro="">
      <xdr:nvCxnSpPr>
        <xdr:cNvPr id="40" name="Straight Arrow Connector 39"/>
        <xdr:cNvCxnSpPr/>
      </xdr:nvCxnSpPr>
      <xdr:spPr>
        <a:xfrm>
          <a:off x="8543925" y="2752725"/>
          <a:ext cx="600075" cy="714375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 x14ac:dyDescent="0.25"/>
  <cols>
    <col min="1" max="1" width="6.28515625" bestFit="1" customWidth="1"/>
    <col min="2" max="2" width="42.7109375" customWidth="1"/>
    <col min="3" max="3" width="29.42578125" customWidth="1"/>
  </cols>
  <sheetData>
    <row r="1" spans="1:3" x14ac:dyDescent="0.25">
      <c r="A1" s="2" t="s">
        <v>0</v>
      </c>
      <c r="B1" s="2" t="s">
        <v>23</v>
      </c>
      <c r="C1" s="2" t="s">
        <v>24</v>
      </c>
    </row>
    <row r="2" spans="1:3" x14ac:dyDescent="0.25">
      <c r="A2" s="1" t="s">
        <v>2</v>
      </c>
      <c r="B2" s="1">
        <v>4</v>
      </c>
      <c r="C2" s="1"/>
    </row>
    <row r="3" spans="1:3" x14ac:dyDescent="0.25">
      <c r="A3" s="1" t="s">
        <v>3</v>
      </c>
      <c r="B3" s="1">
        <v>4</v>
      </c>
      <c r="C3" s="1" t="s">
        <v>2</v>
      </c>
    </row>
    <row r="4" spans="1:3" x14ac:dyDescent="0.25">
      <c r="A4" s="1" t="s">
        <v>4</v>
      </c>
      <c r="B4" s="1">
        <v>3</v>
      </c>
      <c r="C4" s="1"/>
    </row>
    <row r="5" spans="1:3" x14ac:dyDescent="0.25">
      <c r="A5" s="1" t="s">
        <v>5</v>
      </c>
      <c r="B5" s="1">
        <v>4</v>
      </c>
      <c r="C5" s="1" t="s">
        <v>4</v>
      </c>
    </row>
    <row r="6" spans="1:3" x14ac:dyDescent="0.25">
      <c r="A6" s="1" t="s">
        <v>6</v>
      </c>
      <c r="B6" s="1">
        <v>5</v>
      </c>
      <c r="C6" s="1" t="s">
        <v>5</v>
      </c>
    </row>
    <row r="7" spans="1:3" x14ac:dyDescent="0.25">
      <c r="A7" s="1" t="s">
        <v>7</v>
      </c>
      <c r="B7" s="1">
        <v>4</v>
      </c>
      <c r="C7" s="1" t="s">
        <v>11</v>
      </c>
    </row>
    <row r="8" spans="1:3" x14ac:dyDescent="0.25">
      <c r="A8" s="1" t="s">
        <v>8</v>
      </c>
      <c r="B8" s="1">
        <v>3</v>
      </c>
      <c r="C8" s="1" t="s">
        <v>25</v>
      </c>
    </row>
    <row r="9" spans="1:3" x14ac:dyDescent="0.25">
      <c r="A9" s="1" t="s">
        <v>9</v>
      </c>
      <c r="B9" s="1">
        <v>2</v>
      </c>
      <c r="C9" s="1"/>
    </row>
    <row r="10" spans="1:3" x14ac:dyDescent="0.25">
      <c r="A10" s="1" t="s">
        <v>10</v>
      </c>
      <c r="B10" s="1">
        <v>2</v>
      </c>
      <c r="C10" s="1" t="s">
        <v>9</v>
      </c>
    </row>
    <row r="11" spans="1:3" x14ac:dyDescent="0.25">
      <c r="A11" s="1" t="s">
        <v>11</v>
      </c>
      <c r="B11" s="1">
        <v>4</v>
      </c>
      <c r="C11" s="1" t="s">
        <v>26</v>
      </c>
    </row>
    <row r="12" spans="1:3" x14ac:dyDescent="0.25">
      <c r="A12" s="1" t="s">
        <v>12</v>
      </c>
      <c r="B12" s="1">
        <v>5</v>
      </c>
      <c r="C12" s="1" t="s">
        <v>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I22" sqref="I22"/>
    </sheetView>
  </sheetViews>
  <sheetFormatPr defaultRowHeight="15" x14ac:dyDescent="0.25"/>
  <sheetData>
    <row r="1" spans="1:13" x14ac:dyDescent="0.25"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C2" s="19" t="s">
        <v>13</v>
      </c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25">
      <c r="A3" s="2" t="s">
        <v>2</v>
      </c>
      <c r="B3" s="20" t="s">
        <v>14</v>
      </c>
      <c r="C3" s="1"/>
      <c r="D3" s="7"/>
      <c r="E3" s="1"/>
      <c r="F3" s="1"/>
      <c r="G3" s="1"/>
      <c r="H3" s="1"/>
      <c r="I3" s="1"/>
      <c r="J3" s="1"/>
      <c r="K3" s="1"/>
      <c r="L3" s="7"/>
      <c r="M3" s="1"/>
    </row>
    <row r="4" spans="1:13" x14ac:dyDescent="0.25">
      <c r="A4" s="2" t="s">
        <v>3</v>
      </c>
      <c r="B4" s="20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2" t="s">
        <v>4</v>
      </c>
      <c r="B5" s="20"/>
      <c r="C5" s="1"/>
      <c r="D5" s="1"/>
      <c r="E5" s="1"/>
      <c r="F5" s="7"/>
      <c r="G5" s="1"/>
      <c r="H5" s="1"/>
      <c r="I5" s="1"/>
      <c r="J5" s="1"/>
      <c r="K5" s="1"/>
      <c r="L5" s="1"/>
      <c r="M5" s="1"/>
    </row>
    <row r="6" spans="1:13" x14ac:dyDescent="0.25">
      <c r="A6" s="2" t="s">
        <v>5</v>
      </c>
      <c r="B6" s="20"/>
      <c r="C6" s="1"/>
      <c r="D6" s="1"/>
      <c r="E6" s="1"/>
      <c r="F6" s="1"/>
      <c r="G6" s="7"/>
      <c r="H6" s="1"/>
      <c r="I6" s="1"/>
      <c r="J6" s="1"/>
      <c r="K6" s="1"/>
      <c r="L6" s="1"/>
      <c r="M6" s="1"/>
    </row>
    <row r="7" spans="1:13" x14ac:dyDescent="0.25">
      <c r="A7" s="2" t="s">
        <v>6</v>
      </c>
      <c r="B7" s="20"/>
      <c r="C7" s="1"/>
      <c r="D7" s="1"/>
      <c r="E7" s="1"/>
      <c r="F7" s="1"/>
      <c r="G7" s="1"/>
      <c r="H7" s="1"/>
      <c r="I7" s="7"/>
      <c r="J7" s="1"/>
      <c r="K7" s="1"/>
      <c r="L7" s="1"/>
      <c r="M7" s="1"/>
    </row>
    <row r="8" spans="1:13" x14ac:dyDescent="0.25">
      <c r="A8" s="2" t="s">
        <v>7</v>
      </c>
      <c r="B8" s="20"/>
      <c r="C8" s="1"/>
      <c r="D8" s="1"/>
      <c r="E8" s="1"/>
      <c r="F8" s="1"/>
      <c r="G8" s="1"/>
      <c r="H8" s="1"/>
      <c r="I8" s="7"/>
      <c r="J8" s="1"/>
      <c r="K8" s="1"/>
      <c r="L8" s="1"/>
      <c r="M8" s="1"/>
    </row>
    <row r="9" spans="1:13" x14ac:dyDescent="0.25">
      <c r="A9" s="2" t="s">
        <v>8</v>
      </c>
      <c r="B9" s="20"/>
      <c r="C9" s="1"/>
      <c r="D9" s="1"/>
      <c r="E9" s="1"/>
      <c r="F9" s="1"/>
      <c r="G9" s="1"/>
      <c r="H9" s="1"/>
      <c r="I9" s="1"/>
      <c r="J9" s="1"/>
      <c r="K9" s="1"/>
      <c r="L9" s="1"/>
      <c r="M9" s="7"/>
    </row>
    <row r="10" spans="1:13" x14ac:dyDescent="0.25">
      <c r="A10" s="2" t="s">
        <v>9</v>
      </c>
      <c r="B10" s="20"/>
      <c r="C10" s="1"/>
      <c r="D10" s="1"/>
      <c r="E10" s="1"/>
      <c r="F10" s="1"/>
      <c r="G10" s="1"/>
      <c r="H10" s="1"/>
      <c r="I10" s="1"/>
      <c r="J10" s="1"/>
      <c r="K10" s="7"/>
      <c r="L10" s="1"/>
      <c r="M10" s="1"/>
    </row>
    <row r="11" spans="1:13" x14ac:dyDescent="0.25">
      <c r="A11" s="2" t="s">
        <v>10</v>
      </c>
      <c r="B11" s="20"/>
      <c r="C11" s="1"/>
      <c r="D11" s="1"/>
      <c r="E11" s="1"/>
      <c r="F11" s="1"/>
      <c r="G11" s="1"/>
      <c r="H11" s="1"/>
      <c r="I11" s="1"/>
      <c r="J11" s="1"/>
      <c r="K11" s="1"/>
      <c r="L11" s="7"/>
      <c r="M11" s="1"/>
    </row>
    <row r="12" spans="1:13" x14ac:dyDescent="0.25">
      <c r="A12" s="2" t="s">
        <v>11</v>
      </c>
      <c r="B12" s="20"/>
      <c r="C12" s="1"/>
      <c r="D12" s="1"/>
      <c r="E12" s="1"/>
      <c r="F12" s="1"/>
      <c r="G12" s="1"/>
      <c r="H12" s="7"/>
      <c r="I12" s="1"/>
      <c r="J12" s="1"/>
      <c r="K12" s="1"/>
      <c r="L12" s="1"/>
      <c r="M12" s="1"/>
    </row>
    <row r="13" spans="1:13" x14ac:dyDescent="0.25">
      <c r="A13" s="2" t="s">
        <v>12</v>
      </c>
      <c r="B13" s="20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7" spans="6:12" x14ac:dyDescent="0.25">
      <c r="J17" s="8"/>
      <c r="K17" s="8"/>
      <c r="L17" s="8"/>
    </row>
    <row r="18" spans="6:12" x14ac:dyDescent="0.25">
      <c r="F18" s="4"/>
      <c r="J18" s="8"/>
      <c r="K18" s="8"/>
      <c r="L18" s="8"/>
    </row>
    <row r="19" spans="6:12" x14ac:dyDescent="0.25">
      <c r="H19" s="8"/>
      <c r="J19" s="8"/>
      <c r="K19" s="8"/>
      <c r="L19" s="8"/>
    </row>
    <row r="20" spans="6:12" x14ac:dyDescent="0.25">
      <c r="F20" s="4"/>
      <c r="J20" s="8"/>
      <c r="K20" s="8"/>
      <c r="L20" s="8"/>
    </row>
    <row r="21" spans="6:12" x14ac:dyDescent="0.25">
      <c r="J21" s="8"/>
      <c r="K21" s="8"/>
      <c r="L21" s="8"/>
    </row>
    <row r="22" spans="6:12" x14ac:dyDescent="0.25">
      <c r="I22" s="5"/>
      <c r="J22" s="8"/>
      <c r="K22" s="8"/>
      <c r="L22" s="8"/>
    </row>
  </sheetData>
  <mergeCells count="2">
    <mergeCell ref="C2:M2"/>
    <mergeCell ref="B3:B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zoomScale="90" zoomScaleNormal="90" workbookViewId="0">
      <selection activeCell="W42" sqref="W42"/>
    </sheetView>
  </sheetViews>
  <sheetFormatPr defaultRowHeight="15" x14ac:dyDescent="0.25"/>
  <cols>
    <col min="1" max="1" width="5.85546875" bestFit="1" customWidth="1"/>
    <col min="2" max="2" width="10.28515625" bestFit="1" customWidth="1"/>
    <col min="3" max="3" width="5.85546875" bestFit="1" customWidth="1"/>
  </cols>
  <sheetData>
    <row r="1" spans="1:19" x14ac:dyDescent="0.25">
      <c r="A1" s="9" t="s">
        <v>0</v>
      </c>
      <c r="B1" s="10" t="s">
        <v>1</v>
      </c>
      <c r="C1" s="11" t="s">
        <v>27</v>
      </c>
    </row>
    <row r="2" spans="1:19" x14ac:dyDescent="0.25">
      <c r="A2" s="1" t="s">
        <v>2</v>
      </c>
      <c r="B2" s="1">
        <v>4</v>
      </c>
      <c r="C2" s="1"/>
    </row>
    <row r="3" spans="1:19" x14ac:dyDescent="0.25">
      <c r="A3" s="1" t="s">
        <v>3</v>
      </c>
      <c r="B3" s="1">
        <v>4</v>
      </c>
      <c r="C3" s="1" t="s">
        <v>2</v>
      </c>
    </row>
    <row r="4" spans="1:19" x14ac:dyDescent="0.25">
      <c r="A4" s="1" t="s">
        <v>4</v>
      </c>
      <c r="B4" s="1">
        <v>3</v>
      </c>
      <c r="C4" s="1"/>
      <c r="M4" t="s">
        <v>16</v>
      </c>
    </row>
    <row r="5" spans="1:19" x14ac:dyDescent="0.25">
      <c r="A5" s="1" t="s">
        <v>5</v>
      </c>
      <c r="B5" s="1">
        <v>4</v>
      </c>
      <c r="C5" s="1" t="s">
        <v>4</v>
      </c>
    </row>
    <row r="6" spans="1:19" x14ac:dyDescent="0.25">
      <c r="A6" s="1" t="s">
        <v>6</v>
      </c>
      <c r="B6" s="1">
        <v>5</v>
      </c>
      <c r="C6" s="1" t="s">
        <v>5</v>
      </c>
    </row>
    <row r="7" spans="1:19" x14ac:dyDescent="0.25">
      <c r="A7" s="1" t="s">
        <v>7</v>
      </c>
      <c r="B7" s="1">
        <v>4</v>
      </c>
      <c r="C7" s="1" t="s">
        <v>11</v>
      </c>
      <c r="G7" s="3" t="s">
        <v>28</v>
      </c>
      <c r="K7" s="4" t="s">
        <v>17</v>
      </c>
      <c r="R7" t="s">
        <v>31</v>
      </c>
    </row>
    <row r="8" spans="1:19" x14ac:dyDescent="0.25">
      <c r="A8" s="1" t="s">
        <v>8</v>
      </c>
      <c r="B8" s="1">
        <v>3</v>
      </c>
      <c r="C8" s="1" t="s">
        <v>25</v>
      </c>
      <c r="H8" s="4" t="s">
        <v>28</v>
      </c>
      <c r="L8" s="3"/>
      <c r="N8" t="s">
        <v>33</v>
      </c>
    </row>
    <row r="9" spans="1:19" x14ac:dyDescent="0.25">
      <c r="A9" s="1" t="s">
        <v>9</v>
      </c>
      <c r="B9" s="1">
        <v>2</v>
      </c>
      <c r="C9" s="1"/>
      <c r="G9" s="3"/>
    </row>
    <row r="10" spans="1:19" x14ac:dyDescent="0.25">
      <c r="A10" s="1" t="s">
        <v>10</v>
      </c>
      <c r="B10" s="1">
        <v>2</v>
      </c>
      <c r="C10" s="1" t="s">
        <v>9</v>
      </c>
      <c r="G10" s="13" t="s">
        <v>29</v>
      </c>
      <c r="I10" t="s">
        <v>18</v>
      </c>
    </row>
    <row r="11" spans="1:19" x14ac:dyDescent="0.25">
      <c r="A11" s="1" t="s">
        <v>11</v>
      </c>
      <c r="B11" s="1">
        <v>4</v>
      </c>
      <c r="C11" s="1" t="s">
        <v>26</v>
      </c>
      <c r="G11" s="3"/>
      <c r="L11" s="3"/>
      <c r="P11" t="s">
        <v>32</v>
      </c>
      <c r="Q11" s="4"/>
    </row>
    <row r="12" spans="1:19" x14ac:dyDescent="0.25">
      <c r="A12" s="1" t="s">
        <v>12</v>
      </c>
      <c r="B12" s="1">
        <v>5</v>
      </c>
      <c r="C12" s="1" t="s">
        <v>8</v>
      </c>
      <c r="F12" s="3" t="s">
        <v>36</v>
      </c>
    </row>
    <row r="13" spans="1:19" x14ac:dyDescent="0.25">
      <c r="L13" s="3" t="s">
        <v>34</v>
      </c>
    </row>
    <row r="14" spans="1:19" x14ac:dyDescent="0.25">
      <c r="J14" t="s">
        <v>35</v>
      </c>
    </row>
    <row r="15" spans="1:19" x14ac:dyDescent="0.25">
      <c r="P15" t="s">
        <v>20</v>
      </c>
      <c r="S15" s="14" t="s">
        <v>37</v>
      </c>
    </row>
    <row r="16" spans="1:19" x14ac:dyDescent="0.25">
      <c r="B16" s="6" t="s">
        <v>21</v>
      </c>
      <c r="S16" s="14" t="s">
        <v>38</v>
      </c>
    </row>
    <row r="17" spans="1:19" x14ac:dyDescent="0.25">
      <c r="S17" s="14" t="s">
        <v>39</v>
      </c>
    </row>
    <row r="20" spans="1:19" x14ac:dyDescent="0.25"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7</v>
      </c>
      <c r="I20" s="2" t="s">
        <v>8</v>
      </c>
      <c r="J20" s="2" t="s">
        <v>9</v>
      </c>
      <c r="K20" s="2" t="s">
        <v>10</v>
      </c>
      <c r="L20" s="2" t="s">
        <v>11</v>
      </c>
      <c r="M20" s="2" t="s">
        <v>12</v>
      </c>
    </row>
    <row r="21" spans="1:19" x14ac:dyDescent="0.25">
      <c r="C21" s="19" t="s">
        <v>13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spans="1:19" x14ac:dyDescent="0.25">
      <c r="A22" s="2" t="s">
        <v>2</v>
      </c>
      <c r="B22" s="20" t="s">
        <v>14</v>
      </c>
      <c r="C22" s="1"/>
      <c r="D22" s="7"/>
      <c r="E22" s="1"/>
      <c r="F22" s="1"/>
      <c r="G22" s="1"/>
      <c r="H22" s="1"/>
      <c r="I22" s="1"/>
      <c r="J22" s="1"/>
      <c r="K22" s="1"/>
      <c r="L22" s="7"/>
      <c r="M22" s="1"/>
      <c r="N22" t="s">
        <v>30</v>
      </c>
    </row>
    <row r="23" spans="1:19" x14ac:dyDescent="0.25">
      <c r="A23" s="2" t="s">
        <v>3</v>
      </c>
      <c r="B23" s="20"/>
      <c r="C23" s="1"/>
      <c r="D23" s="12"/>
      <c r="E23" s="1"/>
      <c r="F23" s="1"/>
      <c r="G23" s="1"/>
      <c r="H23" s="1"/>
      <c r="I23" s="1"/>
      <c r="J23" s="1"/>
      <c r="K23" s="1"/>
      <c r="L23" s="1"/>
      <c r="M23" s="1"/>
      <c r="N23" t="s">
        <v>30</v>
      </c>
    </row>
    <row r="24" spans="1:19" x14ac:dyDescent="0.25">
      <c r="A24" s="2" t="s">
        <v>4</v>
      </c>
      <c r="B24" s="20"/>
      <c r="C24" s="1"/>
      <c r="D24" s="1"/>
      <c r="E24" s="1"/>
      <c r="F24" s="7"/>
      <c r="G24" s="1"/>
      <c r="H24" s="1"/>
      <c r="I24" s="1"/>
      <c r="J24" s="1"/>
      <c r="K24" s="1"/>
      <c r="L24" s="1"/>
      <c r="M24" s="1"/>
    </row>
    <row r="25" spans="1:19" x14ac:dyDescent="0.25">
      <c r="A25" s="2" t="s">
        <v>5</v>
      </c>
      <c r="B25" s="20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t="s">
        <v>30</v>
      </c>
      <c r="O25" s="6" t="s">
        <v>22</v>
      </c>
    </row>
    <row r="26" spans="1:19" x14ac:dyDescent="0.25">
      <c r="A26" s="2" t="s">
        <v>6</v>
      </c>
      <c r="B26" s="20"/>
      <c r="C26" s="1"/>
      <c r="D26" s="1"/>
      <c r="E26" s="1"/>
      <c r="F26" s="1"/>
      <c r="G26" s="1"/>
      <c r="H26" s="1"/>
      <c r="I26" s="7"/>
      <c r="J26" s="1"/>
      <c r="K26" s="1"/>
      <c r="L26" s="1"/>
      <c r="M26" s="1"/>
      <c r="N26" t="s">
        <v>30</v>
      </c>
    </row>
    <row r="27" spans="1:19" x14ac:dyDescent="0.25">
      <c r="A27" s="2" t="s">
        <v>7</v>
      </c>
      <c r="B27" s="20"/>
      <c r="C27" s="1"/>
      <c r="D27" s="1"/>
      <c r="E27" s="1"/>
      <c r="F27" s="1"/>
      <c r="G27" s="1"/>
      <c r="H27" s="1"/>
      <c r="I27" s="7"/>
      <c r="J27" s="1"/>
      <c r="K27" s="1"/>
      <c r="L27" s="1"/>
      <c r="M27" s="1"/>
      <c r="N27" t="s">
        <v>30</v>
      </c>
    </row>
    <row r="28" spans="1:19" x14ac:dyDescent="0.25">
      <c r="A28" s="2" t="s">
        <v>8</v>
      </c>
      <c r="B28" s="20"/>
      <c r="C28" s="1"/>
      <c r="D28" s="1"/>
      <c r="E28" s="1"/>
      <c r="F28" s="1"/>
      <c r="G28" s="1"/>
      <c r="H28" s="1"/>
      <c r="I28" s="1"/>
      <c r="J28" s="1"/>
      <c r="K28" s="1"/>
      <c r="L28" s="1"/>
      <c r="M28" s="7"/>
      <c r="N28" t="s">
        <v>30</v>
      </c>
    </row>
    <row r="29" spans="1:19" x14ac:dyDescent="0.25">
      <c r="A29" s="2" t="s">
        <v>9</v>
      </c>
      <c r="B29" s="20"/>
      <c r="C29" s="1"/>
      <c r="D29" s="1"/>
      <c r="E29" s="1"/>
      <c r="F29" s="1"/>
      <c r="G29" s="1"/>
      <c r="H29" s="1"/>
      <c r="I29" s="1"/>
      <c r="J29" s="1"/>
      <c r="K29" s="7"/>
      <c r="L29" s="1"/>
      <c r="M29" s="1"/>
      <c r="N29" t="s">
        <v>30</v>
      </c>
    </row>
    <row r="30" spans="1:19" x14ac:dyDescent="0.25">
      <c r="A30" s="2" t="s">
        <v>10</v>
      </c>
      <c r="B30" s="20"/>
      <c r="C30" s="1"/>
      <c r="D30" s="1"/>
      <c r="E30" s="1"/>
      <c r="F30" s="1"/>
      <c r="G30" s="1"/>
      <c r="H30" s="1"/>
      <c r="I30" s="1"/>
      <c r="J30" s="1"/>
      <c r="K30" s="1"/>
      <c r="L30" s="7"/>
      <c r="M30" s="1"/>
      <c r="N30" t="s">
        <v>30</v>
      </c>
    </row>
    <row r="31" spans="1:19" x14ac:dyDescent="0.25">
      <c r="A31" s="2" t="s">
        <v>11</v>
      </c>
      <c r="B31" s="20"/>
      <c r="C31" s="1"/>
      <c r="D31" s="1"/>
      <c r="E31" s="1"/>
      <c r="F31" s="1"/>
      <c r="G31" s="1"/>
      <c r="H31" s="7"/>
      <c r="I31" s="1"/>
      <c r="J31" s="1"/>
      <c r="K31" s="1"/>
      <c r="L31" s="1"/>
      <c r="M31" s="1"/>
      <c r="N31" t="s">
        <v>30</v>
      </c>
    </row>
    <row r="32" spans="1:19" x14ac:dyDescent="0.25">
      <c r="A32" s="2" t="s">
        <v>12</v>
      </c>
      <c r="B32" s="2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t="s">
        <v>30</v>
      </c>
    </row>
    <row r="34" spans="6:6" x14ac:dyDescent="0.25">
      <c r="F34" t="s">
        <v>15</v>
      </c>
    </row>
  </sheetData>
  <mergeCells count="2">
    <mergeCell ref="C21:M21"/>
    <mergeCell ref="B22:B3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tabSelected="1" workbookViewId="0">
      <selection activeCell="P19" sqref="P19"/>
    </sheetView>
  </sheetViews>
  <sheetFormatPr defaultRowHeight="15" x14ac:dyDescent="0.25"/>
  <cols>
    <col min="2" max="2" width="10.85546875" bestFit="1" customWidth="1"/>
    <col min="22" max="22" width="10.140625" bestFit="1" customWidth="1"/>
  </cols>
  <sheetData>
    <row r="1" spans="1:22" x14ac:dyDescent="0.25">
      <c r="A1" s="16" t="s">
        <v>0</v>
      </c>
      <c r="B1" s="2" t="s">
        <v>1</v>
      </c>
    </row>
    <row r="2" spans="1:22" x14ac:dyDescent="0.25">
      <c r="A2" s="1" t="s">
        <v>41</v>
      </c>
      <c r="B2" s="1" t="s">
        <v>45</v>
      </c>
    </row>
    <row r="3" spans="1:22" x14ac:dyDescent="0.25">
      <c r="A3" s="1" t="s">
        <v>42</v>
      </c>
      <c r="B3" s="1" t="s">
        <v>46</v>
      </c>
    </row>
    <row r="4" spans="1:22" x14ac:dyDescent="0.25">
      <c r="A4" s="1" t="s">
        <v>44</v>
      </c>
      <c r="B4" s="1" t="s">
        <v>43</v>
      </c>
    </row>
    <row r="7" spans="1:22" x14ac:dyDescent="0.25">
      <c r="D7" s="16" t="s">
        <v>2</v>
      </c>
      <c r="E7" s="2">
        <v>4</v>
      </c>
      <c r="J7" s="16" t="s">
        <v>3</v>
      </c>
      <c r="K7" s="2">
        <v>4</v>
      </c>
    </row>
    <row r="8" spans="1:22" x14ac:dyDescent="0.25">
      <c r="D8" s="1">
        <v>0</v>
      </c>
      <c r="E8" s="1">
        <f>E9-E7+1</f>
        <v>0</v>
      </c>
      <c r="J8" s="1">
        <v>4</v>
      </c>
      <c r="K8" s="1">
        <f>K9-K7+1</f>
        <v>16</v>
      </c>
    </row>
    <row r="9" spans="1:22" x14ac:dyDescent="0.25">
      <c r="D9" s="1">
        <f>D8+E7-1</f>
        <v>3</v>
      </c>
      <c r="E9" s="1">
        <v>3</v>
      </c>
      <c r="J9" s="1">
        <f>J8+K7-1</f>
        <v>7</v>
      </c>
      <c r="K9" s="1">
        <v>19</v>
      </c>
    </row>
    <row r="10" spans="1:22" x14ac:dyDescent="0.25">
      <c r="D10" s="1">
        <f>E9+1-E7-D8</f>
        <v>0</v>
      </c>
      <c r="E10" s="1">
        <f>E8-D8</f>
        <v>0</v>
      </c>
      <c r="J10" s="1">
        <f>K9+1-K7-J8</f>
        <v>12</v>
      </c>
      <c r="K10" s="1">
        <f>K8-J8</f>
        <v>12</v>
      </c>
    </row>
    <row r="11" spans="1:22" x14ac:dyDescent="0.25">
      <c r="D11" s="15"/>
      <c r="J11" s="15"/>
    </row>
    <row r="13" spans="1:22" x14ac:dyDescent="0.25">
      <c r="D13" s="16" t="s">
        <v>9</v>
      </c>
      <c r="E13" s="2">
        <v>2</v>
      </c>
      <c r="J13" s="16" t="s">
        <v>11</v>
      </c>
      <c r="K13" s="2">
        <v>4</v>
      </c>
      <c r="M13" s="16" t="s">
        <v>7</v>
      </c>
      <c r="N13" s="2">
        <v>4</v>
      </c>
    </row>
    <row r="14" spans="1:22" x14ac:dyDescent="0.25">
      <c r="D14" s="1">
        <v>0</v>
      </c>
      <c r="E14" s="1">
        <f>E15-E13+1</f>
        <v>0</v>
      </c>
      <c r="J14" s="1">
        <v>4</v>
      </c>
      <c r="K14" s="1">
        <f>K15-K13+1</f>
        <v>4</v>
      </c>
      <c r="M14" s="1">
        <v>8</v>
      </c>
      <c r="N14" s="1">
        <f>N15-N13+1</f>
        <v>8</v>
      </c>
    </row>
    <row r="15" spans="1:22" ht="15.75" thickBot="1" x14ac:dyDescent="0.3">
      <c r="D15" s="1">
        <f>D14+E13-1</f>
        <v>1</v>
      </c>
      <c r="E15" s="1">
        <v>1</v>
      </c>
      <c r="J15" s="1">
        <f>J14+K13-1</f>
        <v>7</v>
      </c>
      <c r="K15" s="1">
        <v>7</v>
      </c>
      <c r="M15" s="1">
        <f>M14+N13-1</f>
        <v>11</v>
      </c>
      <c r="N15" s="1">
        <v>11</v>
      </c>
    </row>
    <row r="16" spans="1:22" ht="15.75" thickBot="1" x14ac:dyDescent="0.3">
      <c r="B16" s="17" t="s">
        <v>40</v>
      </c>
      <c r="D16" s="1">
        <f>E15+1-E13-D14</f>
        <v>0</v>
      </c>
      <c r="E16" s="1">
        <f>E14-D14</f>
        <v>0</v>
      </c>
      <c r="J16" s="1">
        <f>K15+1-K13-J14</f>
        <v>0</v>
      </c>
      <c r="K16" s="1">
        <f>K14-J14</f>
        <v>0</v>
      </c>
      <c r="M16" s="1">
        <f>N15+1-N13-M14</f>
        <v>0</v>
      </c>
      <c r="N16" s="1">
        <f>N14-M14</f>
        <v>0</v>
      </c>
      <c r="V16" s="17" t="s">
        <v>19</v>
      </c>
    </row>
    <row r="17" spans="1:22" x14ac:dyDescent="0.25">
      <c r="D17" s="15"/>
      <c r="G17" s="16" t="s">
        <v>10</v>
      </c>
      <c r="H17" s="2">
        <v>2</v>
      </c>
      <c r="J17" s="15"/>
      <c r="M17" s="15"/>
      <c r="P17" s="16" t="s">
        <v>8</v>
      </c>
      <c r="Q17" s="2">
        <v>3</v>
      </c>
      <c r="S17" s="16" t="s">
        <v>12</v>
      </c>
      <c r="T17" s="2">
        <v>5</v>
      </c>
      <c r="V17" s="18" t="s">
        <v>53</v>
      </c>
    </row>
    <row r="18" spans="1:22" x14ac:dyDescent="0.25">
      <c r="G18" s="1">
        <v>2</v>
      </c>
      <c r="H18" s="1">
        <f>H19-H17+1</f>
        <v>2</v>
      </c>
      <c r="P18" s="1">
        <v>12</v>
      </c>
      <c r="Q18" s="1">
        <f>Q19-Q17+1</f>
        <v>12</v>
      </c>
      <c r="S18" s="1">
        <v>15</v>
      </c>
      <c r="T18" s="1">
        <f>T19-T17+1</f>
        <v>15</v>
      </c>
    </row>
    <row r="19" spans="1:22" x14ac:dyDescent="0.25">
      <c r="G19" s="1">
        <f>G18+H17-1</f>
        <v>3</v>
      </c>
      <c r="H19" s="1">
        <v>3</v>
      </c>
      <c r="P19" s="1">
        <f>P18+Q17-1</f>
        <v>14</v>
      </c>
      <c r="Q19" s="1">
        <v>14</v>
      </c>
      <c r="S19" s="1">
        <f>S18+T17-1</f>
        <v>19</v>
      </c>
      <c r="T19" s="1">
        <f>S19</f>
        <v>19</v>
      </c>
    </row>
    <row r="20" spans="1:22" x14ac:dyDescent="0.25">
      <c r="G20" s="1">
        <f>H19+1-H17-G18</f>
        <v>0</v>
      </c>
      <c r="H20" s="1">
        <f>H18-G18</f>
        <v>0</v>
      </c>
      <c r="P20" s="1">
        <f>Q19+1-Q17-P18</f>
        <v>0</v>
      </c>
      <c r="Q20" s="1">
        <f>Q18-P18</f>
        <v>0</v>
      </c>
      <c r="S20" s="1">
        <f>T19+1-T17-S18</f>
        <v>0</v>
      </c>
      <c r="T20" s="1">
        <f>T18-S18</f>
        <v>0</v>
      </c>
    </row>
    <row r="21" spans="1:22" x14ac:dyDescent="0.25">
      <c r="G21" s="15"/>
      <c r="P21" s="15"/>
      <c r="S21" s="15"/>
    </row>
    <row r="23" spans="1:22" x14ac:dyDescent="0.25">
      <c r="D23" s="16" t="s">
        <v>4</v>
      </c>
      <c r="E23" s="2">
        <v>3</v>
      </c>
      <c r="G23" s="16" t="s">
        <v>5</v>
      </c>
      <c r="H23" s="2">
        <v>4</v>
      </c>
      <c r="J23" s="16" t="s">
        <v>6</v>
      </c>
      <c r="K23" s="2">
        <v>5</v>
      </c>
    </row>
    <row r="24" spans="1:22" x14ac:dyDescent="0.25">
      <c r="D24" s="1">
        <v>0</v>
      </c>
      <c r="E24" s="1">
        <f>E25-E23+1</f>
        <v>0</v>
      </c>
      <c r="G24" s="1">
        <v>3</v>
      </c>
      <c r="H24" s="1">
        <f>H25-H23+1</f>
        <v>3</v>
      </c>
      <c r="J24" s="1">
        <v>7</v>
      </c>
      <c r="K24" s="1">
        <f>K25-K23+1</f>
        <v>7</v>
      </c>
    </row>
    <row r="25" spans="1:22" x14ac:dyDescent="0.25">
      <c r="D25" s="1">
        <f>D24+E23-1</f>
        <v>2</v>
      </c>
      <c r="E25" s="1">
        <v>2</v>
      </c>
      <c r="G25" s="1">
        <f>G24+H23-1</f>
        <v>6</v>
      </c>
      <c r="H25" s="1">
        <v>6</v>
      </c>
      <c r="J25" s="1">
        <f>J24+K23-1</f>
        <v>11</v>
      </c>
      <c r="K25" s="1">
        <v>11</v>
      </c>
    </row>
    <row r="26" spans="1:22" x14ac:dyDescent="0.25">
      <c r="D26" s="1">
        <f>E25+1-E23-D24</f>
        <v>0</v>
      </c>
      <c r="E26" s="1">
        <f>E24-D24</f>
        <v>0</v>
      </c>
      <c r="G26" s="1">
        <f>H25+1-H23-G24</f>
        <v>0</v>
      </c>
      <c r="H26" s="1">
        <f>H24-G24</f>
        <v>0</v>
      </c>
      <c r="J26" s="1">
        <f>K25+1-K23-J24</f>
        <v>0</v>
      </c>
      <c r="K26" s="1">
        <f>K24-J24</f>
        <v>0</v>
      </c>
    </row>
    <row r="27" spans="1:22" x14ac:dyDescent="0.25">
      <c r="D27" s="15"/>
      <c r="G27" s="15"/>
      <c r="J27" s="15"/>
    </row>
    <row r="31" spans="1:22" x14ac:dyDescent="0.25">
      <c r="A31" t="s">
        <v>41</v>
      </c>
      <c r="B31" t="s">
        <v>49</v>
      </c>
    </row>
    <row r="32" spans="1:22" x14ac:dyDescent="0.25">
      <c r="A32" t="s">
        <v>42</v>
      </c>
      <c r="B32" t="s">
        <v>47</v>
      </c>
    </row>
    <row r="33" spans="1:2" x14ac:dyDescent="0.25">
      <c r="A33" t="s">
        <v>45</v>
      </c>
      <c r="B33" t="s">
        <v>48</v>
      </c>
    </row>
    <row r="34" spans="1:2" x14ac:dyDescent="0.25">
      <c r="A34" t="s">
        <v>46</v>
      </c>
      <c r="B34" t="s">
        <v>50</v>
      </c>
    </row>
    <row r="35" spans="1:2" x14ac:dyDescent="0.25">
      <c r="A35" t="s">
        <v>44</v>
      </c>
      <c r="B35" t="s">
        <v>51</v>
      </c>
    </row>
    <row r="36" spans="1:2" x14ac:dyDescent="0.25">
      <c r="A36" t="s">
        <v>43</v>
      </c>
      <c r="B36" t="s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PERT 1de3</vt:lpstr>
      <vt:lpstr>PERT 2de3</vt:lpstr>
      <vt:lpstr>PERT 3de3</vt:lpstr>
      <vt:lpstr>MPM</vt:lpstr>
    </vt:vector>
  </TitlesOfParts>
  <Company>Beaulieu International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Miniailo</dc:creator>
  <cp:lastModifiedBy>miniaoiv</cp:lastModifiedBy>
  <dcterms:created xsi:type="dcterms:W3CDTF">2016-11-26T15:02:42Z</dcterms:created>
  <dcterms:modified xsi:type="dcterms:W3CDTF">2020-04-25T10:11:30Z</dcterms:modified>
</cp:coreProperties>
</file>