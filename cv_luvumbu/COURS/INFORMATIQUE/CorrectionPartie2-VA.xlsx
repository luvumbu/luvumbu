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niaoiv\Desktop\Tempo CNAM\GDN100 - Management de projet\Etude de Cas - PERT-MPM-VA\"/>
    </mc:Choice>
  </mc:AlternateContent>
  <bookViews>
    <workbookView xWindow="0" yWindow="0" windowWidth="28800" windowHeight="12435"/>
  </bookViews>
  <sheets>
    <sheet name="Calculs" sheetId="1" r:id="rId1"/>
    <sheet name="Courbes" sheetId="2" r:id="rId2"/>
    <sheet name="Ecarts (variance)" sheetId="3" r:id="rId3"/>
    <sheet name="Indice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2" i="1"/>
  <c r="I3" i="1"/>
  <c r="I4" i="1"/>
  <c r="I2" i="1"/>
  <c r="H3" i="1"/>
  <c r="H4" i="1"/>
  <c r="H5" i="1"/>
  <c r="H2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/>
  <c r="G22" i="1"/>
  <c r="G23" i="1" s="1"/>
  <c r="G24" i="1" s="1"/>
  <c r="G25" i="1" s="1"/>
  <c r="G26" i="1" s="1"/>
  <c r="G27" i="1" s="1"/>
  <c r="G3" i="1"/>
  <c r="G2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3" i="1"/>
  <c r="E2" i="1"/>
  <c r="J2" i="1"/>
  <c r="C3" i="1"/>
  <c r="C4" i="1" s="1"/>
  <c r="C2" i="1"/>
  <c r="I20" i="1" l="1"/>
  <c r="K5" i="1"/>
  <c r="I5" i="1"/>
  <c r="H8" i="1"/>
  <c r="I13" i="1"/>
  <c r="K8" i="1"/>
  <c r="H15" i="1"/>
  <c r="I12" i="1"/>
  <c r="K7" i="1"/>
  <c r="H6" i="1"/>
  <c r="I19" i="1"/>
  <c r="K6" i="1"/>
  <c r="H13" i="1"/>
  <c r="I18" i="1"/>
  <c r="I10" i="1"/>
  <c r="H20" i="1"/>
  <c r="H12" i="1"/>
  <c r="I17" i="1"/>
  <c r="I9" i="1"/>
  <c r="K20" i="1"/>
  <c r="K12" i="1"/>
  <c r="H19" i="1"/>
  <c r="H11" i="1"/>
  <c r="I8" i="1"/>
  <c r="K19" i="1"/>
  <c r="H18" i="1"/>
  <c r="H10" i="1"/>
  <c r="I15" i="1"/>
  <c r="I7" i="1"/>
  <c r="K18" i="1"/>
  <c r="K10" i="1"/>
  <c r="E21" i="1"/>
  <c r="H17" i="1"/>
  <c r="H9" i="1"/>
  <c r="I14" i="1"/>
  <c r="I6" i="1"/>
  <c r="K17" i="1"/>
  <c r="K9" i="1"/>
  <c r="H7" i="1"/>
  <c r="K14" i="1"/>
  <c r="H16" i="1"/>
  <c r="K16" i="1"/>
  <c r="K15" i="1"/>
  <c r="H14" i="1"/>
  <c r="I11" i="1"/>
  <c r="K13" i="1"/>
  <c r="I16" i="1"/>
  <c r="K11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K21" i="1" l="1"/>
  <c r="I21" i="1"/>
  <c r="E22" i="1"/>
  <c r="H21" i="1"/>
  <c r="J3" i="1"/>
  <c r="J4" i="1"/>
  <c r="J6" i="1"/>
  <c r="J5" i="1"/>
  <c r="C23" i="1"/>
  <c r="H22" i="1" l="1"/>
  <c r="I22" i="1"/>
  <c r="E23" i="1"/>
  <c r="K22" i="1"/>
  <c r="J7" i="1"/>
  <c r="C24" i="1"/>
  <c r="I23" i="1" l="1"/>
  <c r="H23" i="1"/>
  <c r="E24" i="1"/>
  <c r="K23" i="1"/>
  <c r="J8" i="1"/>
  <c r="C25" i="1"/>
  <c r="E25" i="1" l="1"/>
  <c r="K24" i="1"/>
  <c r="H24" i="1"/>
  <c r="I24" i="1"/>
  <c r="J9" i="1"/>
  <c r="C26" i="1"/>
  <c r="H25" i="1" l="1"/>
  <c r="I25" i="1"/>
  <c r="K25" i="1"/>
  <c r="E26" i="1"/>
  <c r="J10" i="1"/>
  <c r="C27" i="1"/>
  <c r="E27" i="1" l="1"/>
  <c r="K26" i="1"/>
  <c r="I26" i="1"/>
  <c r="H26" i="1"/>
  <c r="J11" i="1"/>
  <c r="I27" i="1" l="1"/>
  <c r="K27" i="1"/>
  <c r="H27" i="1"/>
  <c r="J12" i="1"/>
  <c r="J13" i="1" l="1"/>
  <c r="J14" i="1" l="1"/>
  <c r="J15" i="1" l="1"/>
  <c r="J16" i="1" l="1"/>
  <c r="J17" i="1" l="1"/>
  <c r="J18" i="1" l="1"/>
  <c r="J19" i="1" l="1"/>
  <c r="J21" i="1" l="1"/>
  <c r="J20" i="1"/>
  <c r="J22" i="1" l="1"/>
  <c r="J23" i="1" l="1"/>
  <c r="J24" i="1" l="1"/>
  <c r="J25" i="1" l="1"/>
  <c r="J27" i="1" l="1"/>
  <c r="J26" i="1"/>
</calcChain>
</file>

<file path=xl/sharedStrings.xml><?xml version="1.0" encoding="utf-8"?>
<sst xmlns="http://schemas.openxmlformats.org/spreadsheetml/2006/main" count="33" uniqueCount="30">
  <si>
    <t>EC</t>
  </si>
  <si>
    <t>Livraison et montage du tunnelier</t>
  </si>
  <si>
    <t>Creusement du tunnel</t>
  </si>
  <si>
    <t>170 m à raison de 10 m par semaine pour un montant de 10k€ le m (consommation énergétique du tunnelier, ressources humaines, evacuation des gravats, etc.)</t>
  </si>
  <si>
    <t>Démontage et renvoie du tunnelier</t>
  </si>
  <si>
    <t>Clôture du projet</t>
  </si>
  <si>
    <t>VP</t>
  </si>
  <si>
    <t>Valeur planifiée</t>
  </si>
  <si>
    <t>VA</t>
  </si>
  <si>
    <t>Valeur acquise</t>
  </si>
  <si>
    <t>CR</t>
  </si>
  <si>
    <t>Coût réel</t>
  </si>
  <si>
    <t>EC=VA-CR</t>
  </si>
  <si>
    <t>IPD=VA/VP</t>
  </si>
  <si>
    <t>IPC=VA/CR</t>
  </si>
  <si>
    <t>Semaine</t>
  </si>
  <si>
    <t>V.Planifiée</t>
  </si>
  <si>
    <t>V.Acquise</t>
  </si>
  <si>
    <t>C.Réel</t>
  </si>
  <si>
    <t>Préparation du chantier, mise en sécurité, dernière vérification des géologues, ordonancement</t>
  </si>
  <si>
    <t>Arbitrage : Choix heure sup à hauteur de 20k€ par jour pour 1 m</t>
  </si>
  <si>
    <t>Retard de Livraison du tunnelier</t>
  </si>
  <si>
    <t>ED=VA-VP</t>
  </si>
  <si>
    <t>ED</t>
  </si>
  <si>
    <t>Ecart de délai, tenue des délais</t>
  </si>
  <si>
    <t>Ecart de coût, tenue du budget</t>
  </si>
  <si>
    <t>Indice de performance des délais</t>
  </si>
  <si>
    <t>Indice de performance des coûts</t>
  </si>
  <si>
    <t>IPD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</si>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</sst>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_);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15" fontId="0" fillId="0" borderId="0" xfId="0" applyNumberFormat="1"/>
    <xf numFmtId="164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0" fontId="0" fillId="0" borderId="0" xfId="0" applyFill="1"/>
    <xf numFmtId="10" fontId="0" fillId="0" borderId="0" xfId="0" applyNumberForma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 i="1" cap="small" baseline="0"/>
              <a:t>Pilotage par les coûts - la courbe en "S"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Calculs!$C$1</c:f>
              <c:strCache>
                <c:ptCount val="1"/>
                <c:pt idx="0">
                  <c:v>VP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Calculs!$C$2:$C$27</c:f>
              <c:numCache>
                <c:formatCode>0.00</c:formatCode>
                <c:ptCount val="26"/>
                <c:pt idx="0" formatCode="General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45</c:v>
                </c:pt>
                <c:pt idx="4">
                  <c:v>75</c:v>
                </c:pt>
                <c:pt idx="5">
                  <c:v>175</c:v>
                </c:pt>
                <c:pt idx="6">
                  <c:v>275</c:v>
                </c:pt>
                <c:pt idx="7">
                  <c:v>375</c:v>
                </c:pt>
                <c:pt idx="8">
                  <c:v>475</c:v>
                </c:pt>
                <c:pt idx="9">
                  <c:v>575</c:v>
                </c:pt>
                <c:pt idx="10">
                  <c:v>675</c:v>
                </c:pt>
                <c:pt idx="11">
                  <c:v>775</c:v>
                </c:pt>
                <c:pt idx="12">
                  <c:v>875</c:v>
                </c:pt>
                <c:pt idx="13">
                  <c:v>975</c:v>
                </c:pt>
                <c:pt idx="14">
                  <c:v>1075</c:v>
                </c:pt>
                <c:pt idx="15">
                  <c:v>1175</c:v>
                </c:pt>
                <c:pt idx="16">
                  <c:v>1275</c:v>
                </c:pt>
                <c:pt idx="17">
                  <c:v>1375</c:v>
                </c:pt>
                <c:pt idx="18">
                  <c:v>1475</c:v>
                </c:pt>
                <c:pt idx="19">
                  <c:v>1575</c:v>
                </c:pt>
                <c:pt idx="20">
                  <c:v>1675</c:v>
                </c:pt>
                <c:pt idx="21">
                  <c:v>1775</c:v>
                </c:pt>
                <c:pt idx="22">
                  <c:v>1805</c:v>
                </c:pt>
                <c:pt idx="23">
                  <c:v>1835</c:v>
                </c:pt>
                <c:pt idx="24">
                  <c:v>1840</c:v>
                </c:pt>
                <c:pt idx="25">
                  <c:v>1845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Calculs!$E$1</c:f>
              <c:strCache>
                <c:ptCount val="1"/>
                <c:pt idx="0">
                  <c:v>VA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Calculs!$E$2:$E$27</c:f>
              <c:numCache>
                <c:formatCode>0.00</c:formatCode>
                <c:ptCount val="2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16</c:v>
                </c:pt>
                <c:pt idx="4">
                  <c:v>45</c:v>
                </c:pt>
                <c:pt idx="5">
                  <c:v>75</c:v>
                </c:pt>
                <c:pt idx="6">
                  <c:v>185</c:v>
                </c:pt>
                <c:pt idx="7">
                  <c:v>295</c:v>
                </c:pt>
                <c:pt idx="8">
                  <c:v>405</c:v>
                </c:pt>
                <c:pt idx="9">
                  <c:v>515</c:v>
                </c:pt>
                <c:pt idx="10">
                  <c:v>625</c:v>
                </c:pt>
                <c:pt idx="11">
                  <c:v>735</c:v>
                </c:pt>
                <c:pt idx="12">
                  <c:v>845</c:v>
                </c:pt>
                <c:pt idx="13">
                  <c:v>955</c:v>
                </c:pt>
                <c:pt idx="14">
                  <c:v>1065</c:v>
                </c:pt>
                <c:pt idx="15">
                  <c:v>1175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Calculs!$G$1</c:f>
              <c:strCache>
                <c:ptCount val="1"/>
                <c:pt idx="0">
                  <c:v>CR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Calculs!$G$2:$G$27</c:f>
              <c:numCache>
                <c:formatCode>0.00</c:formatCode>
                <c:ptCount val="26"/>
                <c:pt idx="0" formatCode="General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50</c:v>
                </c:pt>
                <c:pt idx="5">
                  <c:v>80</c:v>
                </c:pt>
                <c:pt idx="6">
                  <c:v>200</c:v>
                </c:pt>
                <c:pt idx="7">
                  <c:v>320</c:v>
                </c:pt>
                <c:pt idx="8">
                  <c:v>440</c:v>
                </c:pt>
                <c:pt idx="9">
                  <c:v>560</c:v>
                </c:pt>
                <c:pt idx="10">
                  <c:v>680</c:v>
                </c:pt>
                <c:pt idx="11">
                  <c:v>800</c:v>
                </c:pt>
                <c:pt idx="12">
                  <c:v>920</c:v>
                </c:pt>
                <c:pt idx="13">
                  <c:v>1040</c:v>
                </c:pt>
                <c:pt idx="14">
                  <c:v>1160</c:v>
                </c:pt>
                <c:pt idx="15">
                  <c:v>1280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65336"/>
        <c:axId val="137865720"/>
      </c:lineChart>
      <c:catAx>
        <c:axId val="137865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 i="0" baseline="0">
                    <a:latin typeface="Arial" panose="020B0604020202020204" pitchFamily="34" charset="0"/>
                  </a:rPr>
                  <a:t>Semaine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865720"/>
        <c:crosses val="autoZero"/>
        <c:auto val="1"/>
        <c:lblAlgn val="ctr"/>
        <c:lblOffset val="100"/>
        <c:noMultiLvlLbl val="0"/>
      </c:catAx>
      <c:valAx>
        <c:axId val="13786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 i="0" baseline="0">
                    <a:latin typeface="Arial" panose="020B0604020202020204" pitchFamily="34" charset="0"/>
                  </a:rPr>
                  <a:t>K€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86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 i="1"/>
              <a:t>Ecart Planning</a:t>
            </a:r>
            <a:r>
              <a:rPr lang="fr-FR" b="1" i="1" baseline="0"/>
              <a:t> et Coût</a:t>
            </a:r>
            <a:endParaRPr lang="fr-FR" b="1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Calculs!$H$1</c:f>
              <c:strCache>
                <c:ptCount val="1"/>
                <c:pt idx="0">
                  <c:v>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Calculs!$H$2:$H$27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-29</c:v>
                </c:pt>
                <c:pt idx="4">
                  <c:v>-30</c:v>
                </c:pt>
                <c:pt idx="5">
                  <c:v>-100</c:v>
                </c:pt>
                <c:pt idx="6">
                  <c:v>-90</c:v>
                </c:pt>
                <c:pt idx="7">
                  <c:v>-80</c:v>
                </c:pt>
                <c:pt idx="8">
                  <c:v>-70</c:v>
                </c:pt>
                <c:pt idx="9">
                  <c:v>-60</c:v>
                </c:pt>
                <c:pt idx="10">
                  <c:v>-50</c:v>
                </c:pt>
                <c:pt idx="11">
                  <c:v>-40</c:v>
                </c:pt>
                <c:pt idx="12">
                  <c:v>-30</c:v>
                </c:pt>
                <c:pt idx="13">
                  <c:v>-20</c:v>
                </c:pt>
                <c:pt idx="14">
                  <c:v>-10</c:v>
                </c:pt>
                <c:pt idx="15">
                  <c:v>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Calculs!$I$1</c:f>
              <c:strCache>
                <c:ptCount val="1"/>
                <c:pt idx="0">
                  <c:v>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Calculs!$I$2:$I$27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</c:v>
                </c:pt>
                <c:pt idx="4">
                  <c:v>-5</c:v>
                </c:pt>
                <c:pt idx="5">
                  <c:v>-5</c:v>
                </c:pt>
                <c:pt idx="6">
                  <c:v>-15</c:v>
                </c:pt>
                <c:pt idx="7">
                  <c:v>-25</c:v>
                </c:pt>
                <c:pt idx="8">
                  <c:v>-35</c:v>
                </c:pt>
                <c:pt idx="9">
                  <c:v>-45</c:v>
                </c:pt>
                <c:pt idx="10">
                  <c:v>-55</c:v>
                </c:pt>
                <c:pt idx="11">
                  <c:v>-65</c:v>
                </c:pt>
                <c:pt idx="12">
                  <c:v>-75</c:v>
                </c:pt>
                <c:pt idx="13">
                  <c:v>-85</c:v>
                </c:pt>
                <c:pt idx="14">
                  <c:v>-95</c:v>
                </c:pt>
                <c:pt idx="15">
                  <c:v>-105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21784"/>
        <c:axId val="141522168"/>
      </c:lineChart>
      <c:catAx>
        <c:axId val="141521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522168"/>
        <c:crosses val="autoZero"/>
        <c:auto val="1"/>
        <c:lblAlgn val="ctr"/>
        <c:lblOffset val="100"/>
        <c:noMultiLvlLbl val="0"/>
      </c:catAx>
      <c:valAx>
        <c:axId val="14152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52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 i="1" baseline="0">
                <a:latin typeface="Arial" panose="020B0604020202020204" pitchFamily="34" charset="0"/>
              </a:rPr>
              <a:t>Indices de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Calculs!$J$1</c:f>
              <c:strCache>
                <c:ptCount val="1"/>
                <c:pt idx="0">
                  <c:v>IPD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Calculs!$J$2:$J$27</c:f>
              <c:numCache>
                <c:formatCode>0.00%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0.35555555555555557</c:v>
                </c:pt>
                <c:pt idx="4">
                  <c:v>0.6</c:v>
                </c:pt>
                <c:pt idx="5">
                  <c:v>0.42857142857142855</c:v>
                </c:pt>
                <c:pt idx="6">
                  <c:v>0.67272727272727273</c:v>
                </c:pt>
                <c:pt idx="7">
                  <c:v>0.78666666666666663</c:v>
                </c:pt>
                <c:pt idx="8">
                  <c:v>0.85263157894736841</c:v>
                </c:pt>
                <c:pt idx="9">
                  <c:v>0.89565217391304353</c:v>
                </c:pt>
                <c:pt idx="10">
                  <c:v>0.92592592592592593</c:v>
                </c:pt>
                <c:pt idx="11">
                  <c:v>0.94838709677419353</c:v>
                </c:pt>
                <c:pt idx="12">
                  <c:v>0.96571428571428575</c:v>
                </c:pt>
                <c:pt idx="13">
                  <c:v>0.97948717948717945</c:v>
                </c:pt>
                <c:pt idx="14">
                  <c:v>0.99069767441860468</c:v>
                </c:pt>
                <c:pt idx="15">
                  <c:v>1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Calculs!$K$1</c:f>
              <c:strCache>
                <c:ptCount val="1"/>
                <c:pt idx="0">
                  <c:v>IPC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Calculs!$K$2:$K$27</c:f>
              <c:numCache>
                <c:formatCode>0.00%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</c:v>
                </c:pt>
                <c:pt idx="4">
                  <c:v>0.9</c:v>
                </c:pt>
                <c:pt idx="5">
                  <c:v>0.9375</c:v>
                </c:pt>
                <c:pt idx="6">
                  <c:v>0.92500000000000004</c:v>
                </c:pt>
                <c:pt idx="7">
                  <c:v>0.921875</c:v>
                </c:pt>
                <c:pt idx="8">
                  <c:v>0.92045454545454541</c:v>
                </c:pt>
                <c:pt idx="9">
                  <c:v>0.9196428571428571</c:v>
                </c:pt>
                <c:pt idx="10">
                  <c:v>0.91911764705882348</c:v>
                </c:pt>
                <c:pt idx="11">
                  <c:v>0.91874999999999996</c:v>
                </c:pt>
                <c:pt idx="12">
                  <c:v>0.91847826086956519</c:v>
                </c:pt>
                <c:pt idx="13">
                  <c:v>0.91826923076923073</c:v>
                </c:pt>
                <c:pt idx="14">
                  <c:v>0.9181034482758621</c:v>
                </c:pt>
                <c:pt idx="15">
                  <c:v>0.91796875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03456"/>
        <c:axId val="141612032"/>
      </c:lineChart>
      <c:catAx>
        <c:axId val="141603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612032"/>
        <c:crosses val="autoZero"/>
        <c:auto val="1"/>
        <c:lblAlgn val="ctr"/>
        <c:lblOffset val="100"/>
        <c:noMultiLvlLbl val="0"/>
      </c:catAx>
      <c:valAx>
        <c:axId val="14161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6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71437</xdr:rowOff>
    </xdr:from>
    <xdr:to>
      <xdr:col>18</xdr:col>
      <xdr:colOff>19050</xdr:colOff>
      <xdr:row>36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100011</xdr:colOff>
      <xdr:row>0</xdr:row>
      <xdr:rowOff>71436</xdr:rowOff>
    </xdr:from>
    <xdr:to>
      <xdr:col>19</xdr:col>
      <xdr:colOff>304800</xdr:colOff>
      <xdr:row>37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61911</xdr:colOff>
      <xdr:row>0</xdr:row>
      <xdr:rowOff>71436</xdr:rowOff>
    </xdr:from>
    <xdr:to>
      <xdr:col>16</xdr:col>
      <xdr:colOff>466724</xdr:colOff>
      <xdr:row>38</xdr:row>
      <xdr:rowOff>76199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workbookViewId="0">
      <selection activeCell="D20" sqref="D20"/>
    </sheetView>
  </sheetViews>
  <sheetFormatPr defaultRowHeight="15" x14ac:dyDescent="0.25"/>
  <cols>
    <col min="1" max="1" width="10.85546875" bestFit="1" customWidth="1"/>
    <col min="2" max="2" width="9.85546875" bestFit="1" customWidth="1"/>
    <col min="4" max="4" width="9.85546875" bestFit="1" customWidth="1"/>
    <col min="7" max="7" width="9.42578125" bestFit="1" customWidth="1"/>
  </cols>
  <sheetData>
    <row r="1" spans="1:14" x14ac:dyDescent="0.25">
      <c r="A1" s="9" t="s">
        <v>15</v>
      </c>
      <c r="B1" s="9" t="s">
        <v>16</v>
      </c>
      <c r="C1" s="9" t="s">
        <v>6</v>
      </c>
      <c r="D1" s="9" t="s">
        <v>17</v>
      </c>
      <c r="E1" s="9" t="s">
        <v>8</v>
      </c>
      <c r="F1" s="9" t="s">
        <v>18</v>
      </c>
      <c r="G1" s="9" t="s">
        <v>10</v>
      </c>
      <c r="H1" s="9" t="s">
        <v>23</v>
      </c>
      <c r="I1" s="9" t="s">
        <v>0</v>
      </c>
      <c r="J1" s="9" t="s">
        <v>28</v>
      </c>
      <c r="K1" s="9" t="s">
        <v>29</v>
      </c>
    </row>
    <row r="2" spans="1:14" x14ac:dyDescent="0.25">
      <c r="A2" s="8">
        <v>1</v>
      </c>
      <c r="B2" s="5">
        <v>5</v>
      </c>
      <c r="C2" s="1">
        <f>B2</f>
        <v>5</v>
      </c>
      <c r="D2" s="2">
        <v>5</v>
      </c>
      <c r="E2" s="2">
        <f>IF(D2&lt;&gt;0,D2,NA())</f>
        <v>5</v>
      </c>
      <c r="F2" s="2">
        <v>5</v>
      </c>
      <c r="G2" s="1">
        <f>IF(F2&lt;&gt;0,F2,NA())</f>
        <v>5</v>
      </c>
      <c r="H2" s="3">
        <f>IF(D2&lt;&gt;0,E2-C2,NA())</f>
        <v>0</v>
      </c>
      <c r="I2" s="3">
        <f>IF(F2&lt;&gt;0,E2-G2,NA())</f>
        <v>0</v>
      </c>
      <c r="J2" s="4">
        <f t="shared" ref="J2:J27" si="0">E2/C2</f>
        <v>1</v>
      </c>
      <c r="K2" s="4">
        <f>E2/G2</f>
        <v>1</v>
      </c>
      <c r="L2" s="11"/>
      <c r="N2" t="s">
        <v>19</v>
      </c>
    </row>
    <row r="3" spans="1:14" x14ac:dyDescent="0.25">
      <c r="A3" s="8">
        <v>2</v>
      </c>
      <c r="B3" s="5">
        <v>5</v>
      </c>
      <c r="C3" s="5">
        <f>C2+B3</f>
        <v>10</v>
      </c>
      <c r="D3" s="2">
        <v>5</v>
      </c>
      <c r="E3" s="2">
        <f>IF(D3&lt;&gt;0,D3+E2,NA())</f>
        <v>10</v>
      </c>
      <c r="F3" s="2">
        <v>5</v>
      </c>
      <c r="G3" s="5">
        <f>IF(F3&lt;&gt;0,G2+F3,NA())</f>
        <v>10</v>
      </c>
      <c r="H3" s="3">
        <f t="shared" ref="H3:H27" si="1">IF(D3&lt;&gt;0,E3-C3,NA())</f>
        <v>0</v>
      </c>
      <c r="I3" s="3">
        <f t="shared" ref="I3:I27" si="2">IF(F3&lt;&gt;0,E3-G3,NA())</f>
        <v>0</v>
      </c>
      <c r="J3" s="4">
        <f t="shared" si="0"/>
        <v>1</v>
      </c>
      <c r="K3" s="4">
        <f t="shared" ref="K3:K27" si="3">E3/G3</f>
        <v>1</v>
      </c>
      <c r="L3" s="11"/>
    </row>
    <row r="4" spans="1:14" x14ac:dyDescent="0.25">
      <c r="A4" s="8">
        <v>3</v>
      </c>
      <c r="B4" s="5">
        <v>5</v>
      </c>
      <c r="C4" s="5">
        <f t="shared" ref="C4:C27" si="4">C3+B4</f>
        <v>15</v>
      </c>
      <c r="D4" s="2">
        <v>5</v>
      </c>
      <c r="E4" s="2">
        <f t="shared" ref="E4:E27" si="5">IF(D4&lt;&gt;0,D4+E3,NA())</f>
        <v>15</v>
      </c>
      <c r="F4" s="2">
        <v>5</v>
      </c>
      <c r="G4" s="5">
        <f t="shared" ref="G4:G27" si="6">IF(F4&lt;&gt;0,G3+F4,NA())</f>
        <v>15</v>
      </c>
      <c r="H4" s="3">
        <f t="shared" si="1"/>
        <v>0</v>
      </c>
      <c r="I4" s="3">
        <f t="shared" si="2"/>
        <v>0</v>
      </c>
      <c r="J4" s="4">
        <f t="shared" si="0"/>
        <v>1</v>
      </c>
      <c r="K4" s="4">
        <f t="shared" si="3"/>
        <v>1</v>
      </c>
      <c r="L4" s="11"/>
    </row>
    <row r="5" spans="1:14" x14ac:dyDescent="0.25">
      <c r="A5" s="8">
        <v>4</v>
      </c>
      <c r="B5" s="5">
        <v>30</v>
      </c>
      <c r="C5" s="5">
        <f t="shared" si="4"/>
        <v>45</v>
      </c>
      <c r="D5" s="2">
        <v>1</v>
      </c>
      <c r="E5" s="2">
        <f t="shared" si="5"/>
        <v>16</v>
      </c>
      <c r="F5" s="2">
        <v>5</v>
      </c>
      <c r="G5" s="5">
        <f t="shared" si="6"/>
        <v>20</v>
      </c>
      <c r="H5" s="3">
        <f t="shared" si="1"/>
        <v>-29</v>
      </c>
      <c r="I5" s="3">
        <f t="shared" si="2"/>
        <v>-4</v>
      </c>
      <c r="J5" s="4">
        <f t="shared" si="0"/>
        <v>0.35555555555555557</v>
      </c>
      <c r="K5" s="4">
        <f t="shared" si="3"/>
        <v>0.8</v>
      </c>
      <c r="L5" s="11"/>
      <c r="N5" t="s">
        <v>1</v>
      </c>
    </row>
    <row r="6" spans="1:14" x14ac:dyDescent="0.25">
      <c r="A6" s="8">
        <v>5</v>
      </c>
      <c r="B6" s="5">
        <v>30</v>
      </c>
      <c r="C6" s="5">
        <f t="shared" si="4"/>
        <v>75</v>
      </c>
      <c r="D6" s="2">
        <v>29</v>
      </c>
      <c r="E6" s="2">
        <f t="shared" si="5"/>
        <v>45</v>
      </c>
      <c r="F6" s="2">
        <v>30</v>
      </c>
      <c r="G6" s="5">
        <f t="shared" si="6"/>
        <v>50</v>
      </c>
      <c r="H6" s="3">
        <f t="shared" si="1"/>
        <v>-30</v>
      </c>
      <c r="I6" s="3">
        <f t="shared" si="2"/>
        <v>-5</v>
      </c>
      <c r="J6" s="4">
        <f t="shared" si="0"/>
        <v>0.6</v>
      </c>
      <c r="K6" s="4">
        <f t="shared" si="3"/>
        <v>0.9</v>
      </c>
      <c r="L6" s="11"/>
      <c r="N6" s="12" t="s">
        <v>21</v>
      </c>
    </row>
    <row r="7" spans="1:14" x14ac:dyDescent="0.25">
      <c r="A7" s="8">
        <v>6</v>
      </c>
      <c r="B7" s="5">
        <v>100</v>
      </c>
      <c r="C7" s="5">
        <f t="shared" si="4"/>
        <v>175</v>
      </c>
      <c r="D7" s="2">
        <v>30</v>
      </c>
      <c r="E7" s="2">
        <f t="shared" si="5"/>
        <v>75</v>
      </c>
      <c r="F7" s="2">
        <v>30</v>
      </c>
      <c r="G7" s="5">
        <f t="shared" si="6"/>
        <v>80</v>
      </c>
      <c r="H7" s="3">
        <f t="shared" si="1"/>
        <v>-100</v>
      </c>
      <c r="I7" s="3">
        <f t="shared" si="2"/>
        <v>-5</v>
      </c>
      <c r="J7" s="4">
        <f t="shared" si="0"/>
        <v>0.42857142857142855</v>
      </c>
      <c r="K7" s="4">
        <f t="shared" si="3"/>
        <v>0.9375</v>
      </c>
      <c r="L7" s="11"/>
      <c r="N7" t="s">
        <v>2</v>
      </c>
    </row>
    <row r="8" spans="1:14" x14ac:dyDescent="0.25">
      <c r="A8" s="8">
        <v>7</v>
      </c>
      <c r="B8" s="5">
        <v>100</v>
      </c>
      <c r="C8" s="5">
        <f t="shared" si="4"/>
        <v>275</v>
      </c>
      <c r="D8" s="2">
        <v>110</v>
      </c>
      <c r="E8" s="2">
        <f t="shared" si="5"/>
        <v>185</v>
      </c>
      <c r="F8" s="2">
        <v>120</v>
      </c>
      <c r="G8" s="5">
        <f t="shared" si="6"/>
        <v>200</v>
      </c>
      <c r="H8" s="3">
        <f t="shared" si="1"/>
        <v>-90</v>
      </c>
      <c r="I8" s="3">
        <f t="shared" si="2"/>
        <v>-15</v>
      </c>
      <c r="J8" s="4">
        <f t="shared" si="0"/>
        <v>0.67272727272727273</v>
      </c>
      <c r="K8" s="4">
        <f t="shared" si="3"/>
        <v>0.92500000000000004</v>
      </c>
      <c r="L8" s="11"/>
      <c r="N8" t="s">
        <v>3</v>
      </c>
    </row>
    <row r="9" spans="1:14" x14ac:dyDescent="0.25">
      <c r="A9" s="8">
        <v>8</v>
      </c>
      <c r="B9" s="5">
        <v>100</v>
      </c>
      <c r="C9" s="5">
        <f t="shared" si="4"/>
        <v>375</v>
      </c>
      <c r="D9" s="2">
        <v>110</v>
      </c>
      <c r="E9" s="2">
        <f t="shared" si="5"/>
        <v>295</v>
      </c>
      <c r="F9" s="2">
        <v>120</v>
      </c>
      <c r="G9" s="5">
        <f t="shared" si="6"/>
        <v>320</v>
      </c>
      <c r="H9" s="3">
        <f t="shared" si="1"/>
        <v>-80</v>
      </c>
      <c r="I9" s="3">
        <f t="shared" si="2"/>
        <v>-25</v>
      </c>
      <c r="J9" s="4">
        <f t="shared" si="0"/>
        <v>0.78666666666666663</v>
      </c>
      <c r="K9" s="4">
        <f t="shared" si="3"/>
        <v>0.921875</v>
      </c>
      <c r="L9" s="11"/>
      <c r="N9" s="13" t="s">
        <v>20</v>
      </c>
    </row>
    <row r="10" spans="1:14" x14ac:dyDescent="0.25">
      <c r="A10" s="8">
        <v>9</v>
      </c>
      <c r="B10" s="5">
        <v>100</v>
      </c>
      <c r="C10" s="5">
        <f t="shared" si="4"/>
        <v>475</v>
      </c>
      <c r="D10" s="2">
        <v>110</v>
      </c>
      <c r="E10" s="2">
        <f t="shared" si="5"/>
        <v>405</v>
      </c>
      <c r="F10" s="2">
        <v>120</v>
      </c>
      <c r="G10" s="5">
        <f t="shared" si="6"/>
        <v>440</v>
      </c>
      <c r="H10" s="3">
        <f t="shared" si="1"/>
        <v>-70</v>
      </c>
      <c r="I10" s="3">
        <f t="shared" si="2"/>
        <v>-35</v>
      </c>
      <c r="J10" s="4">
        <f t="shared" si="0"/>
        <v>0.85263157894736841</v>
      </c>
      <c r="K10" s="4">
        <f t="shared" si="3"/>
        <v>0.92045454545454541</v>
      </c>
      <c r="L10" s="11"/>
    </row>
    <row r="11" spans="1:14" x14ac:dyDescent="0.25">
      <c r="A11" s="8">
        <v>10</v>
      </c>
      <c r="B11" s="5">
        <v>100</v>
      </c>
      <c r="C11" s="5">
        <f t="shared" si="4"/>
        <v>575</v>
      </c>
      <c r="D11" s="2">
        <v>110</v>
      </c>
      <c r="E11" s="2">
        <f t="shared" si="5"/>
        <v>515</v>
      </c>
      <c r="F11" s="2">
        <v>120</v>
      </c>
      <c r="G11" s="5">
        <f t="shared" si="6"/>
        <v>560</v>
      </c>
      <c r="H11" s="3">
        <f t="shared" si="1"/>
        <v>-60</v>
      </c>
      <c r="I11" s="3">
        <f t="shared" si="2"/>
        <v>-45</v>
      </c>
      <c r="J11" s="4">
        <f t="shared" si="0"/>
        <v>0.89565217391304353</v>
      </c>
      <c r="K11" s="4">
        <f t="shared" si="3"/>
        <v>0.9196428571428571</v>
      </c>
      <c r="L11" s="11"/>
    </row>
    <row r="12" spans="1:14" x14ac:dyDescent="0.25">
      <c r="A12" s="8">
        <v>11</v>
      </c>
      <c r="B12" s="5">
        <v>100</v>
      </c>
      <c r="C12" s="5">
        <f t="shared" si="4"/>
        <v>675</v>
      </c>
      <c r="D12" s="2">
        <v>110</v>
      </c>
      <c r="E12" s="2">
        <f t="shared" si="5"/>
        <v>625</v>
      </c>
      <c r="F12" s="2">
        <v>120</v>
      </c>
      <c r="G12" s="5">
        <f t="shared" si="6"/>
        <v>680</v>
      </c>
      <c r="H12" s="3">
        <f t="shared" si="1"/>
        <v>-50</v>
      </c>
      <c r="I12" s="3">
        <f t="shared" si="2"/>
        <v>-55</v>
      </c>
      <c r="J12" s="4">
        <f t="shared" si="0"/>
        <v>0.92592592592592593</v>
      </c>
      <c r="K12" s="4">
        <f t="shared" si="3"/>
        <v>0.91911764705882348</v>
      </c>
      <c r="L12" s="11"/>
    </row>
    <row r="13" spans="1:14" x14ac:dyDescent="0.25">
      <c r="A13" s="8">
        <v>12</v>
      </c>
      <c r="B13" s="5">
        <v>100</v>
      </c>
      <c r="C13" s="5">
        <f t="shared" si="4"/>
        <v>775</v>
      </c>
      <c r="D13" s="2">
        <v>110</v>
      </c>
      <c r="E13" s="2">
        <f t="shared" si="5"/>
        <v>735</v>
      </c>
      <c r="F13" s="2">
        <v>120</v>
      </c>
      <c r="G13" s="5">
        <f t="shared" si="6"/>
        <v>800</v>
      </c>
      <c r="H13" s="3">
        <f t="shared" si="1"/>
        <v>-40</v>
      </c>
      <c r="I13" s="3">
        <f t="shared" si="2"/>
        <v>-65</v>
      </c>
      <c r="J13" s="4">
        <f t="shared" si="0"/>
        <v>0.94838709677419353</v>
      </c>
      <c r="K13" s="4">
        <f t="shared" si="3"/>
        <v>0.91874999999999996</v>
      </c>
      <c r="L13" s="11"/>
    </row>
    <row r="14" spans="1:14" x14ac:dyDescent="0.25">
      <c r="A14" s="8">
        <v>13</v>
      </c>
      <c r="B14" s="5">
        <v>100</v>
      </c>
      <c r="C14" s="5">
        <f t="shared" si="4"/>
        <v>875</v>
      </c>
      <c r="D14" s="2">
        <v>110</v>
      </c>
      <c r="E14" s="2">
        <f t="shared" si="5"/>
        <v>845</v>
      </c>
      <c r="F14" s="2">
        <v>120</v>
      </c>
      <c r="G14" s="5">
        <f t="shared" si="6"/>
        <v>920</v>
      </c>
      <c r="H14" s="3">
        <f t="shared" si="1"/>
        <v>-30</v>
      </c>
      <c r="I14" s="3">
        <f t="shared" si="2"/>
        <v>-75</v>
      </c>
      <c r="J14" s="4">
        <f t="shared" si="0"/>
        <v>0.96571428571428575</v>
      </c>
      <c r="K14" s="4">
        <f t="shared" si="3"/>
        <v>0.91847826086956519</v>
      </c>
      <c r="L14" s="11"/>
    </row>
    <row r="15" spans="1:14" x14ac:dyDescent="0.25">
      <c r="A15" s="8">
        <v>14</v>
      </c>
      <c r="B15" s="5">
        <v>100</v>
      </c>
      <c r="C15" s="5">
        <f t="shared" si="4"/>
        <v>975</v>
      </c>
      <c r="D15" s="2">
        <v>110</v>
      </c>
      <c r="E15" s="2">
        <f t="shared" si="5"/>
        <v>955</v>
      </c>
      <c r="F15" s="2">
        <v>120</v>
      </c>
      <c r="G15" s="5">
        <f t="shared" si="6"/>
        <v>1040</v>
      </c>
      <c r="H15" s="3">
        <f t="shared" si="1"/>
        <v>-20</v>
      </c>
      <c r="I15" s="3">
        <f t="shared" si="2"/>
        <v>-85</v>
      </c>
      <c r="J15" s="4">
        <f t="shared" si="0"/>
        <v>0.97948717948717945</v>
      </c>
      <c r="K15" s="4">
        <f t="shared" si="3"/>
        <v>0.91826923076923073</v>
      </c>
      <c r="L15" s="11"/>
    </row>
    <row r="16" spans="1:14" x14ac:dyDescent="0.25">
      <c r="A16" s="8">
        <v>15</v>
      </c>
      <c r="B16" s="5">
        <v>100</v>
      </c>
      <c r="C16" s="5">
        <f t="shared" si="4"/>
        <v>1075</v>
      </c>
      <c r="D16" s="2">
        <v>110</v>
      </c>
      <c r="E16" s="2">
        <f t="shared" si="5"/>
        <v>1065</v>
      </c>
      <c r="F16" s="2">
        <v>120</v>
      </c>
      <c r="G16" s="5">
        <f t="shared" si="6"/>
        <v>1160</v>
      </c>
      <c r="H16" s="3">
        <f t="shared" si="1"/>
        <v>-10</v>
      </c>
      <c r="I16" s="3">
        <f t="shared" si="2"/>
        <v>-95</v>
      </c>
      <c r="J16" s="4">
        <f t="shared" si="0"/>
        <v>0.99069767441860468</v>
      </c>
      <c r="K16" s="4">
        <f t="shared" si="3"/>
        <v>0.9181034482758621</v>
      </c>
      <c r="L16" s="11"/>
    </row>
    <row r="17" spans="1:14" x14ac:dyDescent="0.25">
      <c r="A17" s="8">
        <v>16</v>
      </c>
      <c r="B17" s="5">
        <v>100</v>
      </c>
      <c r="C17" s="5">
        <f t="shared" si="4"/>
        <v>1175</v>
      </c>
      <c r="D17" s="2">
        <v>110</v>
      </c>
      <c r="E17" s="2">
        <f t="shared" si="5"/>
        <v>1175</v>
      </c>
      <c r="F17" s="2">
        <v>120</v>
      </c>
      <c r="G17" s="5">
        <f t="shared" si="6"/>
        <v>1280</v>
      </c>
      <c r="H17" s="3">
        <f t="shared" si="1"/>
        <v>0</v>
      </c>
      <c r="I17" s="3">
        <f t="shared" si="2"/>
        <v>-105</v>
      </c>
      <c r="J17" s="4">
        <f t="shared" si="0"/>
        <v>1</v>
      </c>
      <c r="K17" s="4">
        <f t="shared" si="3"/>
        <v>0.91796875</v>
      </c>
      <c r="L17" s="11"/>
    </row>
    <row r="18" spans="1:14" x14ac:dyDescent="0.25">
      <c r="A18" s="8">
        <v>17</v>
      </c>
      <c r="B18" s="5">
        <v>100</v>
      </c>
      <c r="C18" s="5">
        <f t="shared" si="4"/>
        <v>1275</v>
      </c>
      <c r="D18" s="2">
        <v>0</v>
      </c>
      <c r="E18" s="2" t="e">
        <f t="shared" si="5"/>
        <v>#N/A</v>
      </c>
      <c r="F18" s="2">
        <v>0</v>
      </c>
      <c r="G18" s="5" t="e">
        <f t="shared" si="6"/>
        <v>#N/A</v>
      </c>
      <c r="H18" s="3" t="e">
        <f t="shared" si="1"/>
        <v>#N/A</v>
      </c>
      <c r="I18" s="3" t="e">
        <f t="shared" si="2"/>
        <v>#N/A</v>
      </c>
      <c r="J18" s="4" t="e">
        <f t="shared" si="0"/>
        <v>#N/A</v>
      </c>
      <c r="K18" s="4" t="e">
        <f t="shared" si="3"/>
        <v>#N/A</v>
      </c>
      <c r="L18" s="11"/>
    </row>
    <row r="19" spans="1:14" x14ac:dyDescent="0.25">
      <c r="A19" s="8">
        <v>18</v>
      </c>
      <c r="B19" s="5">
        <v>100</v>
      </c>
      <c r="C19" s="5">
        <f t="shared" si="4"/>
        <v>1375</v>
      </c>
      <c r="D19" s="2">
        <v>0</v>
      </c>
      <c r="E19" s="2" t="e">
        <f t="shared" si="5"/>
        <v>#N/A</v>
      </c>
      <c r="F19" s="2">
        <v>0</v>
      </c>
      <c r="G19" s="5" t="e">
        <f t="shared" si="6"/>
        <v>#N/A</v>
      </c>
      <c r="H19" s="3" t="e">
        <f t="shared" si="1"/>
        <v>#N/A</v>
      </c>
      <c r="I19" s="3" t="e">
        <f t="shared" si="2"/>
        <v>#N/A</v>
      </c>
      <c r="J19" s="4" t="e">
        <f t="shared" si="0"/>
        <v>#N/A</v>
      </c>
      <c r="K19" s="4" t="e">
        <f t="shared" si="3"/>
        <v>#N/A</v>
      </c>
      <c r="L19" s="11"/>
    </row>
    <row r="20" spans="1:14" x14ac:dyDescent="0.25">
      <c r="A20" s="8">
        <v>19</v>
      </c>
      <c r="B20" s="5">
        <v>100</v>
      </c>
      <c r="C20" s="5">
        <f t="shared" si="4"/>
        <v>1475</v>
      </c>
      <c r="D20" s="2">
        <v>0</v>
      </c>
      <c r="E20" s="2" t="e">
        <f t="shared" si="5"/>
        <v>#N/A</v>
      </c>
      <c r="F20" s="2">
        <v>0</v>
      </c>
      <c r="G20" s="5" t="e">
        <f t="shared" si="6"/>
        <v>#N/A</v>
      </c>
      <c r="H20" s="3" t="e">
        <f t="shared" si="1"/>
        <v>#N/A</v>
      </c>
      <c r="I20" s="3" t="e">
        <f t="shared" si="2"/>
        <v>#N/A</v>
      </c>
      <c r="J20" s="4" t="e">
        <f t="shared" si="0"/>
        <v>#N/A</v>
      </c>
      <c r="K20" s="4" t="e">
        <f t="shared" si="3"/>
        <v>#N/A</v>
      </c>
      <c r="L20" s="11"/>
    </row>
    <row r="21" spans="1:14" x14ac:dyDescent="0.25">
      <c r="A21" s="8">
        <v>20</v>
      </c>
      <c r="B21" s="5">
        <v>100</v>
      </c>
      <c r="C21" s="5">
        <f t="shared" si="4"/>
        <v>1575</v>
      </c>
      <c r="D21" s="2">
        <v>0</v>
      </c>
      <c r="E21" s="2" t="e">
        <f t="shared" si="5"/>
        <v>#N/A</v>
      </c>
      <c r="F21" s="2">
        <v>0</v>
      </c>
      <c r="G21" s="5" t="e">
        <f t="shared" si="6"/>
        <v>#N/A</v>
      </c>
      <c r="H21" s="3" t="e">
        <f t="shared" si="1"/>
        <v>#N/A</v>
      </c>
      <c r="I21" s="3" t="e">
        <f t="shared" si="2"/>
        <v>#N/A</v>
      </c>
      <c r="J21" s="4" t="e">
        <f t="shared" si="0"/>
        <v>#N/A</v>
      </c>
      <c r="K21" s="4" t="e">
        <f t="shared" si="3"/>
        <v>#N/A</v>
      </c>
      <c r="L21" s="11"/>
      <c r="M21" s="10"/>
    </row>
    <row r="22" spans="1:14" x14ac:dyDescent="0.25">
      <c r="A22" s="8">
        <v>21</v>
      </c>
      <c r="B22" s="5">
        <v>100</v>
      </c>
      <c r="C22" s="5">
        <f t="shared" si="4"/>
        <v>1675</v>
      </c>
      <c r="D22" s="2">
        <v>0</v>
      </c>
      <c r="E22" s="2" t="e">
        <f t="shared" si="5"/>
        <v>#N/A</v>
      </c>
      <c r="F22" s="2">
        <v>0</v>
      </c>
      <c r="G22" s="5" t="e">
        <f t="shared" si="6"/>
        <v>#N/A</v>
      </c>
      <c r="H22" s="3" t="e">
        <f t="shared" si="1"/>
        <v>#N/A</v>
      </c>
      <c r="I22" s="3" t="e">
        <f t="shared" si="2"/>
        <v>#N/A</v>
      </c>
      <c r="J22" s="4" t="e">
        <f t="shared" si="0"/>
        <v>#N/A</v>
      </c>
      <c r="K22" s="4" t="e">
        <f t="shared" si="3"/>
        <v>#N/A</v>
      </c>
      <c r="L22" s="11"/>
    </row>
    <row r="23" spans="1:14" x14ac:dyDescent="0.25">
      <c r="A23" s="8">
        <v>22</v>
      </c>
      <c r="B23" s="5">
        <v>100</v>
      </c>
      <c r="C23" s="5">
        <f t="shared" si="4"/>
        <v>1775</v>
      </c>
      <c r="D23" s="2">
        <v>0</v>
      </c>
      <c r="E23" s="2" t="e">
        <f t="shared" si="5"/>
        <v>#N/A</v>
      </c>
      <c r="F23" s="2">
        <v>0</v>
      </c>
      <c r="G23" s="5" t="e">
        <f t="shared" si="6"/>
        <v>#N/A</v>
      </c>
      <c r="H23" s="3" t="e">
        <f t="shared" si="1"/>
        <v>#N/A</v>
      </c>
      <c r="I23" s="3" t="e">
        <f t="shared" si="2"/>
        <v>#N/A</v>
      </c>
      <c r="J23" s="4" t="e">
        <f t="shared" si="0"/>
        <v>#N/A</v>
      </c>
      <c r="K23" s="4" t="e">
        <f t="shared" si="3"/>
        <v>#N/A</v>
      </c>
      <c r="L23" s="11"/>
    </row>
    <row r="24" spans="1:14" x14ac:dyDescent="0.25">
      <c r="A24" s="8">
        <v>23</v>
      </c>
      <c r="B24" s="5">
        <v>30</v>
      </c>
      <c r="C24" s="5">
        <f t="shared" si="4"/>
        <v>1805</v>
      </c>
      <c r="D24" s="2">
        <v>0</v>
      </c>
      <c r="E24" s="2" t="e">
        <f t="shared" si="5"/>
        <v>#N/A</v>
      </c>
      <c r="F24" s="2">
        <v>0</v>
      </c>
      <c r="G24" s="5" t="e">
        <f t="shared" si="6"/>
        <v>#N/A</v>
      </c>
      <c r="H24" s="3" t="e">
        <f t="shared" si="1"/>
        <v>#N/A</v>
      </c>
      <c r="I24" s="3" t="e">
        <f t="shared" si="2"/>
        <v>#N/A</v>
      </c>
      <c r="J24" s="4" t="e">
        <f t="shared" si="0"/>
        <v>#N/A</v>
      </c>
      <c r="K24" s="4" t="e">
        <f t="shared" si="3"/>
        <v>#N/A</v>
      </c>
      <c r="L24" s="11"/>
      <c r="N24" t="s">
        <v>4</v>
      </c>
    </row>
    <row r="25" spans="1:14" x14ac:dyDescent="0.25">
      <c r="A25" s="8">
        <v>24</v>
      </c>
      <c r="B25" s="5">
        <v>30</v>
      </c>
      <c r="C25" s="5">
        <f t="shared" si="4"/>
        <v>1835</v>
      </c>
      <c r="D25" s="2">
        <v>0</v>
      </c>
      <c r="E25" s="2" t="e">
        <f t="shared" si="5"/>
        <v>#N/A</v>
      </c>
      <c r="F25" s="2">
        <v>0</v>
      </c>
      <c r="G25" s="5" t="e">
        <f t="shared" si="6"/>
        <v>#N/A</v>
      </c>
      <c r="H25" s="3" t="e">
        <f t="shared" si="1"/>
        <v>#N/A</v>
      </c>
      <c r="I25" s="3" t="e">
        <f t="shared" si="2"/>
        <v>#N/A</v>
      </c>
      <c r="J25" s="4" t="e">
        <f t="shared" si="0"/>
        <v>#N/A</v>
      </c>
      <c r="K25" s="4" t="e">
        <f t="shared" si="3"/>
        <v>#N/A</v>
      </c>
      <c r="L25" s="11"/>
    </row>
    <row r="26" spans="1:14" x14ac:dyDescent="0.25">
      <c r="A26" s="8">
        <v>25</v>
      </c>
      <c r="B26" s="5">
        <v>5</v>
      </c>
      <c r="C26" s="5">
        <f t="shared" si="4"/>
        <v>1840</v>
      </c>
      <c r="D26" s="2">
        <v>0</v>
      </c>
      <c r="E26" s="2" t="e">
        <f t="shared" si="5"/>
        <v>#N/A</v>
      </c>
      <c r="F26" s="2">
        <v>0</v>
      </c>
      <c r="G26" s="5" t="e">
        <f t="shared" si="6"/>
        <v>#N/A</v>
      </c>
      <c r="H26" s="3" t="e">
        <f t="shared" si="1"/>
        <v>#N/A</v>
      </c>
      <c r="I26" s="3" t="e">
        <f t="shared" si="2"/>
        <v>#N/A</v>
      </c>
      <c r="J26" s="4" t="e">
        <f t="shared" si="0"/>
        <v>#N/A</v>
      </c>
      <c r="K26" s="4" t="e">
        <f t="shared" si="3"/>
        <v>#N/A</v>
      </c>
      <c r="L26" s="11"/>
      <c r="N26" t="s">
        <v>5</v>
      </c>
    </row>
    <row r="27" spans="1:14" x14ac:dyDescent="0.25">
      <c r="A27" s="8">
        <v>26</v>
      </c>
      <c r="B27" s="5">
        <v>5</v>
      </c>
      <c r="C27" s="5">
        <f t="shared" si="4"/>
        <v>1845</v>
      </c>
      <c r="D27" s="2">
        <v>0</v>
      </c>
      <c r="E27" s="2" t="e">
        <f t="shared" si="5"/>
        <v>#N/A</v>
      </c>
      <c r="F27" s="2">
        <v>0</v>
      </c>
      <c r="G27" s="5" t="e">
        <f t="shared" si="6"/>
        <v>#N/A</v>
      </c>
      <c r="H27" s="3" t="e">
        <f t="shared" si="1"/>
        <v>#N/A</v>
      </c>
      <c r="I27" s="3" t="e">
        <f t="shared" si="2"/>
        <v>#N/A</v>
      </c>
      <c r="J27" s="4" t="e">
        <f t="shared" si="0"/>
        <v>#N/A</v>
      </c>
      <c r="K27" s="4" t="e">
        <f t="shared" si="3"/>
        <v>#N/A</v>
      </c>
      <c r="L27" s="11"/>
    </row>
    <row r="28" spans="1:14" x14ac:dyDescent="0.25">
      <c r="A28" s="6"/>
      <c r="B28" s="6"/>
    </row>
    <row r="29" spans="1:14" x14ac:dyDescent="0.25">
      <c r="A29" s="6"/>
      <c r="B29" s="6"/>
      <c r="C29" s="7"/>
      <c r="D29" s="7"/>
      <c r="E29" s="7"/>
      <c r="F29" s="7"/>
      <c r="G29" s="7"/>
    </row>
    <row r="30" spans="1:14" x14ac:dyDescent="0.25">
      <c r="A30" s="6" t="s">
        <v>6</v>
      </c>
      <c r="B30" s="6"/>
      <c r="C30" s="7" t="s">
        <v>7</v>
      </c>
      <c r="D30" s="7"/>
      <c r="E30" s="7"/>
      <c r="F30" s="7"/>
      <c r="G30" s="7"/>
    </row>
    <row r="31" spans="1:14" x14ac:dyDescent="0.25">
      <c r="A31" s="6" t="s">
        <v>8</v>
      </c>
      <c r="B31" s="6"/>
      <c r="C31" s="7" t="s">
        <v>9</v>
      </c>
      <c r="D31" s="7"/>
      <c r="E31" s="7"/>
      <c r="F31" s="7"/>
      <c r="G31" s="7"/>
    </row>
    <row r="32" spans="1:14" x14ac:dyDescent="0.25">
      <c r="A32" s="6" t="s">
        <v>10</v>
      </c>
      <c r="B32" s="6"/>
      <c r="C32" s="7" t="s">
        <v>11</v>
      </c>
      <c r="D32" s="7"/>
      <c r="E32" s="7"/>
      <c r="F32" s="7"/>
      <c r="G32" s="7"/>
    </row>
    <row r="33" spans="1:7" x14ac:dyDescent="0.25">
      <c r="A33" s="6" t="s">
        <v>22</v>
      </c>
      <c r="B33" s="6"/>
      <c r="C33" s="7" t="s">
        <v>24</v>
      </c>
      <c r="D33" s="7"/>
      <c r="E33" s="7"/>
      <c r="F33" s="7"/>
      <c r="G33" s="7"/>
    </row>
    <row r="34" spans="1:7" x14ac:dyDescent="0.25">
      <c r="A34" s="6" t="s">
        <v>12</v>
      </c>
      <c r="B34" s="6"/>
      <c r="C34" s="7" t="s">
        <v>25</v>
      </c>
    </row>
    <row r="35" spans="1:7" x14ac:dyDescent="0.25">
      <c r="A35" s="6" t="s">
        <v>13</v>
      </c>
      <c r="B35" s="6"/>
      <c r="C35" s="7" t="s">
        <v>26</v>
      </c>
    </row>
    <row r="36" spans="1:7" x14ac:dyDescent="0.25">
      <c r="A36" s="6" t="s">
        <v>14</v>
      </c>
      <c r="B36" s="6"/>
      <c r="C36" s="7" t="s">
        <v>27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6" sqref="V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U8" sqref="U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20" sqref="T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Calculs</vt:lpstr>
      <vt:lpstr>Courbes</vt:lpstr>
      <vt:lpstr>Ecarts (variance)</vt:lpstr>
      <vt:lpstr>Indices</vt:lpstr>
    </vt:vector>
  </TitlesOfParts>
  <Company>Beaulieu ICT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miniaoiv</dc:creator>
  <cp:lastModifiedBy>miniaoiv</cp:lastModifiedBy>
  <dcterms:created xsi:type="dcterms:W3CDTF">2020-04-23T19:56:22Z</dcterms:created>
  <dcterms:modified xsi:type="dcterms:W3CDTF">2020-04-25T10:58:16Z</dcterms:modified>
</cp:coreProperties>
</file>